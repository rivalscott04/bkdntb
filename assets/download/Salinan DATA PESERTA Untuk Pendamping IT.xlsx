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eserta" sheetId="1" r:id="rId4"/>
    <sheet state="visible" name="OTP" sheetId="2" r:id="rId5"/>
    <sheet state="visible" name="Response" sheetId="3" r:id="rId6"/>
    <sheet state="visible" name="Copy of Response" sheetId="4" r:id="rId7"/>
  </sheets>
  <definedNames>
    <definedName hidden="1" localSheetId="0" name="_xlnm._FilterDatabase">'Data Peserta'!$A$1:$Y$7</definedName>
  </definedNames>
  <calcPr/>
  <extLst>
    <ext uri="GoogleSheetsCustomDataVersion2">
      <go:sheetsCustomData xmlns:go="http://customooxmlschemas.google.com/" r:id="rId8" roundtripDataChecksum="fREqUZg/4G+wch067tqjgV9VOBpHX7Ql3RkgQVUxTCI="/>
    </ext>
  </extLst>
</workbook>
</file>

<file path=xl/sharedStrings.xml><?xml version="1.0" encoding="utf-8"?>
<sst xmlns="http://schemas.openxmlformats.org/spreadsheetml/2006/main" count="96" uniqueCount="77">
  <si>
    <t>z</t>
  </si>
  <si>
    <t>LEVEL JABATAN</t>
  </si>
  <si>
    <t>NIP/NRP</t>
  </si>
  <si>
    <t>Nama Peserta</t>
  </si>
  <si>
    <t>Nama Peserta Tanpa Gelar</t>
  </si>
  <si>
    <t>Jabatan</t>
  </si>
  <si>
    <t>Satuan Kerja</t>
  </si>
  <si>
    <t>Tujuan Asesmen</t>
  </si>
  <si>
    <t>WhatsApp Peserta</t>
  </si>
  <si>
    <t>Link Wa Peserta</t>
  </si>
  <si>
    <t>Whatsapp Peserta dari Form</t>
  </si>
  <si>
    <t>Link WA Peserta Form</t>
  </si>
  <si>
    <t>Nama Pendamping IT</t>
  </si>
  <si>
    <t>Whatsapp Pendamping IT</t>
  </si>
  <si>
    <t>Link Whatsapp Pendamping IT</t>
  </si>
  <si>
    <t>Link Analisa Kasus</t>
  </si>
  <si>
    <t>Link PPT</t>
  </si>
  <si>
    <t>OTP</t>
  </si>
  <si>
    <t>Peserta</t>
  </si>
  <si>
    <t>KP</t>
  </si>
  <si>
    <t>CI</t>
  </si>
  <si>
    <t>Q-Kom</t>
  </si>
  <si>
    <t>DRH</t>
  </si>
  <si>
    <t>Keterangan</t>
  </si>
  <si>
    <t>197108152005011011</t>
  </si>
  <si>
    <t>Arif Roesman Effendy, ST., M.Sc., MT</t>
  </si>
  <si>
    <t>Rhubi Iswandi Trinaron</t>
  </si>
  <si>
    <t>Arif Roesman Effendy</t>
  </si>
  <si>
    <t>Kepala Badan Riset dan Inovasi Daerah</t>
  </si>
  <si>
    <t>Badan Riset dan Inovasi Daerah</t>
  </si>
  <si>
    <t>Penilaian Kompetensi Seleksi JPTP Sekretaris Daerah Kota Bima</t>
  </si>
  <si>
    <t>https://docs.google.com/document/d/1koM7jfa8RoC22pZgwWqkVVyoPaOZkz_7/edit?usp=drive_link&amp;ouid=109572619207324994548&amp;rtpof=true&amp;sd=true</t>
  </si>
  <si>
    <t>https://docs.google.com/presentation/d/16XjugvS5xlJJM99TsorAJ-kx4InqxW6z/edit?usp=drive_link&amp;ouid=109572619207324994548&amp;rtpof=true&amp;sd=true</t>
  </si>
  <si>
    <t>197311101992111001</t>
  </si>
  <si>
    <t>Drs. Is Fahmin, M.AP</t>
  </si>
  <si>
    <t>Is Fahmin</t>
  </si>
  <si>
    <t>Kepala Dinas Perhubungan</t>
  </si>
  <si>
    <t>Dinas Perhubungan</t>
  </si>
  <si>
    <t>https://docs.google.com/document/d/1j7c2WPL7c_moAqqjDsnhdK5cOoIh1GLo/edit?usp=drive_link&amp;ouid=109572619207324994548&amp;rtpof=true&amp;sd=true</t>
  </si>
  <si>
    <t>https://docs.google.com/presentation/d/11518VMxojDHKNrpHlyLUesvLpVyshZTv/edit?usp=drive_link&amp;ouid=109572619207324994548&amp;rtpof=true&amp;sd=true</t>
  </si>
  <si>
    <t>196808281992031010</t>
  </si>
  <si>
    <t>Drs. H. Muhammad Fakhrunraji, ME.
 CGCAE</t>
  </si>
  <si>
    <t>Muhammad Fakhrunraji</t>
  </si>
  <si>
    <t>Inspektur</t>
  </si>
  <si>
    <t>Inspektorat</t>
  </si>
  <si>
    <t>https://docs.google.com/document/d/1ybbEED2T2QlIzHh1T5_u93EY-kiPWP8z/edit?usp=drive_link&amp;ouid=109572619207324994548&amp;rtpof=true&amp;sd=true</t>
  </si>
  <si>
    <t>https://docs.google.com/presentation/d/1rolxQrZMjh9pbnpcGOT0xwsoNrXIlWEl/edit?usp=sharing&amp;ouid=109572619207324994548&amp;rtpof=true&amp;sd=true</t>
  </si>
  <si>
    <t>196812222002101001</t>
  </si>
  <si>
    <t>Sukarno, S.H</t>
  </si>
  <si>
    <t>Sukarno</t>
  </si>
  <si>
    <t>Kepala Dinas Pariwisata dan Kebudayaan</t>
  </si>
  <si>
    <t>Dinas Pariwisata dan Kebudayaan</t>
  </si>
  <si>
    <t>https://docs.google.com/document/d/1YGnOEP_ydqkRCV4VPhgEAAwqYEe7PIyn/edit?usp=drive_link&amp;ouid=109572619207324994548&amp;rtpof=true&amp;sd=true</t>
  </si>
  <si>
    <t>https://docs.google.com/presentation/d/1N9NlAqGHH6MpkjZVwf9FMKWpGszYR1O_/edit?usp=drive_link&amp;ouid=109572619207324994548&amp;rtpof=true&amp;sd=true</t>
  </si>
  <si>
    <t>197304091992111001</t>
  </si>
  <si>
    <t>Syarif Rustaman, S.Sos., M. Ap</t>
  </si>
  <si>
    <t>Syarif Rustaman</t>
  </si>
  <si>
    <t>Kepala Badan Perencanaan Pembangunan Daerah</t>
  </si>
  <si>
    <t>Badan Perencanaan Pembangunan Daerah</t>
  </si>
  <si>
    <t>https://docs.google.com/document/d/1qa2nhXVp0X9XNLLaqAmP_hoLwM_qHHuV/edit?usp=drive_link&amp;ouid=109572619207324994548&amp;rtpof=true&amp;sd=true</t>
  </si>
  <si>
    <t>https://docs.google.com/presentation/d/1fwr5ByBkmTxCfHeSJS42F1_5BEdPn-Ti/edit?usp=drive_link&amp;ouid=109572619207324994548&amp;rtpof=true&amp;sd=true</t>
  </si>
  <si>
    <t>197208241993031003</t>
  </si>
  <si>
    <t>Muhammad Hasyim, S. Sos, M. Ec. Dev</t>
  </si>
  <si>
    <t>Muhammad Hasyim</t>
  </si>
  <si>
    <t>Kepala Diskominfotik</t>
  </si>
  <si>
    <t>Diskominfotik</t>
  </si>
  <si>
    <t>https://docs.google.com/document/d/1-3euKIqqYo7MToZ7UVKDmsBy9DQWgRPv/edit?usp=drive_link&amp;ouid=109572619207324994548&amp;rtpof=true&amp;sd=true</t>
  </si>
  <si>
    <t>https://docs.google.com/presentation/d/1iQDUC6fYGS38IU4MpQSjwMPdJnvICwGJ/edit?usp=drive_link&amp;ouid=109572619207324994548&amp;rtpof=true&amp;sd=true</t>
  </si>
  <si>
    <t>Daftar OTP Peserta Penilaian Kompetensi Seleksi JPTP Pemprov NTB</t>
  </si>
  <si>
    <t>NO</t>
  </si>
  <si>
    <t>NIP</t>
  </si>
  <si>
    <t>NAMA</t>
  </si>
  <si>
    <t>199411152019031003</t>
  </si>
  <si>
    <t>Adli Dzil Ikram</t>
  </si>
  <si>
    <t>199609152020121011</t>
  </si>
  <si>
    <t>Satria Henarta Putra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</si>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</sst>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9">
    <font>
      <sz val="10.0"/>
      <color rgb="FF000000"/>
      <name val="Arial"/>
      <scheme val="minor"/>
    </font>
    <font>
      <u/>
      <sz val="10.0"/>
      <color rgb="FFFFFFFF"/>
      <name val="Arial"/>
    </font>
    <font>
      <sz val="10.0"/>
      <color rgb="FFFFFFFF"/>
      <name val="Arial"/>
    </font>
    <font>
      <color theme="1"/>
      <name val="Arial"/>
    </font>
    <font>
      <sz val="10.0"/>
      <color theme="1"/>
      <name val="Arial"/>
    </font>
    <font>
      <sz val="11.0"/>
      <color rgb="FF000000"/>
      <name val="Calibri"/>
    </font>
    <font>
      <sz val="10.0"/>
      <color rgb="FF000000"/>
      <name val="Arial"/>
    </font>
    <font>
      <u/>
      <sz val="10.0"/>
      <color rgb="FF000000"/>
      <name val="Roboto"/>
    </font>
    <font>
      <u/>
      <sz val="10.0"/>
      <color rgb="FF000000"/>
      <name val="Roboto"/>
    </font>
    <font>
      <sz val="10.0"/>
      <color theme="1"/>
      <name val="Roboto"/>
    </font>
    <font>
      <u/>
      <sz val="10.0"/>
      <color theme="1"/>
      <name val="Roboto"/>
    </font>
    <font>
      <u/>
      <sz val="10.0"/>
      <color rgb="FF0000FF"/>
      <name val="Roboto"/>
    </font>
    <font>
      <u/>
      <sz val="10.0"/>
      <color theme="1"/>
      <name val="Arial"/>
    </font>
    <font>
      <color rgb="FF434343"/>
      <name val="Roboto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rgb="FF0000FF"/>
      <name val="Roboto"/>
    </font>
    <font>
      <u/>
      <sz val="10.0"/>
      <color rgb="FF0000FF"/>
      <name val="Roboto"/>
    </font>
    <font>
      <u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8">
    <border/>
    <border>
      <left style="thin">
        <color rgb="FF284E3F"/>
      </left>
      <right style="thin">
        <color rgb="FF356854"/>
      </right>
      <top style="thin">
        <color rgb="FF284E3F"/>
      </top>
    </border>
    <border>
      <left style="thin">
        <color rgb="FF356854"/>
      </left>
      <right style="thin">
        <color rgb="FF356854"/>
      </right>
      <top style="thin">
        <color rgb="FF284E3F"/>
      </top>
    </border>
    <border>
      <left style="thin">
        <color rgb="FF356854"/>
      </left>
      <top style="thin">
        <color rgb="FF284E3F"/>
      </top>
    </border>
    <border>
      <left style="thin">
        <color rgb="FF356854"/>
      </left>
      <right style="thin">
        <color rgb="FF284E3F"/>
      </right>
      <top style="thin">
        <color rgb="FF284E3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0"/>
    </xf>
    <xf borderId="2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shrinkToFit="0" vertical="center" wrapText="0"/>
    </xf>
    <xf borderId="4" fillId="2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  <xf borderId="5" fillId="3" fontId="4" numFmtId="0" xfId="0" applyAlignment="1" applyBorder="1" applyFill="1" applyFont="1">
      <alignment horizontal="center" vertical="center"/>
    </xf>
    <xf borderId="5" fillId="3" fontId="5" numFmtId="0" xfId="0" applyAlignment="1" applyBorder="1" applyFont="1">
      <alignment horizontal="center" shrinkToFit="0" wrapText="0"/>
    </xf>
    <xf quotePrefix="1" borderId="5" fillId="3" fontId="4" numFmtId="0" xfId="0" applyAlignment="1" applyBorder="1" applyFont="1">
      <alignment horizontal="left" vertical="center"/>
    </xf>
    <xf borderId="5" fillId="3" fontId="4" numFmtId="0" xfId="0" applyAlignment="1" applyBorder="1" applyFont="1">
      <alignment horizontal="left" vertical="center"/>
    </xf>
    <xf borderId="5" fillId="3" fontId="4" numFmtId="0" xfId="0" applyAlignment="1" applyBorder="1" applyFont="1">
      <alignment vertical="center"/>
    </xf>
    <xf borderId="5" fillId="3" fontId="6" numFmtId="0" xfId="0" applyAlignment="1" applyBorder="1" applyFont="1">
      <alignment horizontal="left" vertical="center"/>
    </xf>
    <xf borderId="5" fillId="3" fontId="7" numFmtId="0" xfId="0" applyAlignment="1" applyBorder="1" applyFont="1">
      <alignment vertical="center"/>
    </xf>
    <xf borderId="5" fillId="3" fontId="8" numFmtId="49" xfId="0" applyAlignment="1" applyBorder="1" applyFont="1" applyNumberFormat="1">
      <alignment vertical="center"/>
    </xf>
    <xf borderId="5" fillId="3" fontId="9" numFmtId="0" xfId="0" applyAlignment="1" applyBorder="1" applyFont="1">
      <alignment shrinkToFit="0" vertical="center" wrapText="0"/>
    </xf>
    <xf borderId="5" fillId="3" fontId="10" numFmtId="0" xfId="0" applyAlignment="1" applyBorder="1" applyFont="1">
      <alignment shrinkToFit="0" vertical="center" wrapText="0"/>
    </xf>
    <xf borderId="5" fillId="3" fontId="11" numFmtId="0" xfId="0" applyAlignment="1" applyBorder="1" applyFont="1">
      <alignment shrinkToFit="0" vertical="center" wrapText="0"/>
    </xf>
    <xf borderId="6" fillId="3" fontId="12" numFmtId="0" xfId="0" applyAlignment="1" applyBorder="1" applyFont="1">
      <alignment vertical="center"/>
    </xf>
    <xf borderId="6" fillId="3" fontId="4" numFmtId="0" xfId="0" applyAlignment="1" applyBorder="1" applyFont="1">
      <alignment vertical="center"/>
    </xf>
    <xf borderId="0" fillId="3" fontId="13" numFmtId="0" xfId="0" applyAlignment="1" applyFont="1">
      <alignment horizontal="center"/>
    </xf>
    <xf borderId="5" fillId="3" fontId="14" numFmtId="0" xfId="0" applyAlignment="1" applyBorder="1" applyFont="1">
      <alignment shrinkToFit="0" vertical="center" wrapText="0"/>
    </xf>
    <xf borderId="7" fillId="3" fontId="15" numFmtId="0" xfId="0" applyAlignment="1" applyBorder="1" applyFont="1">
      <alignment shrinkToFit="0" vertical="center" wrapText="0"/>
    </xf>
    <xf borderId="7" fillId="3" fontId="4" numFmtId="0" xfId="0" applyAlignment="1" applyBorder="1" applyFont="1">
      <alignment vertical="center"/>
    </xf>
    <xf borderId="5" fillId="4" fontId="4" numFmtId="0" xfId="0" applyAlignment="1" applyBorder="1" applyFill="1" applyFont="1">
      <alignment horizontal="center" vertical="center"/>
    </xf>
    <xf borderId="5" fillId="4" fontId="5" numFmtId="0" xfId="0" applyAlignment="1" applyBorder="1" applyFont="1">
      <alignment horizontal="center" shrinkToFit="0" wrapText="0"/>
    </xf>
    <xf quotePrefix="1" borderId="5" fillId="4" fontId="4" numFmtId="0" xfId="0" applyAlignment="1" applyBorder="1" applyFont="1">
      <alignment horizontal="left" vertical="center"/>
    </xf>
    <xf borderId="5" fillId="4" fontId="4" numFmtId="0" xfId="0" applyAlignment="1" applyBorder="1" applyFont="1">
      <alignment vertical="center"/>
    </xf>
    <xf borderId="5" fillId="4" fontId="6" numFmtId="0" xfId="0" applyAlignment="1" applyBorder="1" applyFont="1">
      <alignment horizontal="left" vertical="center"/>
    </xf>
    <xf borderId="5" fillId="4" fontId="16" numFmtId="0" xfId="0" applyAlignment="1" applyBorder="1" applyFont="1">
      <alignment shrinkToFit="0" vertical="center" wrapText="0"/>
    </xf>
    <xf borderId="0" fillId="4" fontId="13" numFmtId="0" xfId="0" applyAlignment="1" applyFont="1">
      <alignment horizontal="center"/>
    </xf>
    <xf borderId="5" fillId="3" fontId="17" numFmtId="0" xfId="0" applyAlignment="1" applyBorder="1" applyFont="1">
      <alignment shrinkToFit="0" vertical="center" wrapText="0"/>
    </xf>
    <xf borderId="0" fillId="0" fontId="3" numFmtId="0" xfId="0" applyAlignment="1" applyFont="1">
      <alignment shrinkToFit="0" wrapText="0"/>
    </xf>
    <xf borderId="0" fillId="0" fontId="3" numFmtId="0" xfId="0" applyFont="1"/>
    <xf borderId="0" fillId="0" fontId="3" numFmtId="164" xfId="0" applyFont="1" applyNumberFormat="1"/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-3euKIqqYo7MToZ7UVKDmsBy9DQWgRPv/edit?usp=drive_link&amp;ouid=109572619207324994548&amp;rtpof=true&amp;sd=true" TargetMode="External"/><Relationship Id="rId10" Type="http://schemas.openxmlformats.org/officeDocument/2006/relationships/hyperlink" Target="https://docs.google.com/presentation/d/1fwr5ByBkmTxCfHeSJS42F1_5BEdPn-Ti/edit?usp=drive_link&amp;ouid=109572619207324994548&amp;rtpof=true&amp;sd=true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ocs.google.com/presentation/d/1iQDUC6fYGS38IU4MpQSjwMPdJnvICwGJ/edit?usp=drive_link&amp;ouid=109572619207324994548&amp;rtpof=true&amp;sd=true" TargetMode="External"/><Relationship Id="rId1" Type="http://schemas.openxmlformats.org/officeDocument/2006/relationships/hyperlink" Target="https://docs.google.com/document/d/1koM7jfa8RoC22pZgwWqkVVyoPaOZkz_7/edit?usp=drive_link&amp;ouid=109572619207324994548&amp;rtpof=true&amp;sd=true" TargetMode="External"/><Relationship Id="rId2" Type="http://schemas.openxmlformats.org/officeDocument/2006/relationships/hyperlink" Target="https://docs.google.com/presentation/d/16XjugvS5xlJJM99TsorAJ-kx4InqxW6z/edit?usp=drive_link&amp;ouid=109572619207324994548&amp;rtpof=true&amp;sd=true" TargetMode="External"/><Relationship Id="rId3" Type="http://schemas.openxmlformats.org/officeDocument/2006/relationships/hyperlink" Target="https://docs.google.com/document/d/1j7c2WPL7c_moAqqjDsnhdK5cOoIh1GLo/edit?usp=drive_link&amp;ouid=109572619207324994548&amp;rtpof=true&amp;sd=true" TargetMode="External"/><Relationship Id="rId4" Type="http://schemas.openxmlformats.org/officeDocument/2006/relationships/hyperlink" Target="https://docs.google.com/presentation/d/11518VMxojDHKNrpHlyLUesvLpVyshZTv/edit?usp=drive_link&amp;ouid=109572619207324994548&amp;rtpof=true&amp;sd=true" TargetMode="External"/><Relationship Id="rId9" Type="http://schemas.openxmlformats.org/officeDocument/2006/relationships/hyperlink" Target="https://docs.google.com/document/d/1qa2nhXVp0X9XNLLaqAmP_hoLwM_qHHuV/edit?usp=drive_link&amp;ouid=109572619207324994548&amp;rtpof=true&amp;sd=true" TargetMode="External"/><Relationship Id="rId5" Type="http://schemas.openxmlformats.org/officeDocument/2006/relationships/hyperlink" Target="https://docs.google.com/document/d/1ybbEED2T2QlIzHh1T5_u93EY-kiPWP8z/edit?usp=drive_link&amp;ouid=109572619207324994548&amp;rtpof=true&amp;sd=true" TargetMode="External"/><Relationship Id="rId6" Type="http://schemas.openxmlformats.org/officeDocument/2006/relationships/hyperlink" Target="https://docs.google.com/presentation/d/1rolxQrZMjh9pbnpcGOT0xwsoNrXIlWEl/edit?usp=sharing&amp;ouid=109572619207324994548&amp;rtpof=true&amp;sd=true" TargetMode="External"/><Relationship Id="rId7" Type="http://schemas.openxmlformats.org/officeDocument/2006/relationships/hyperlink" Target="https://docs.google.com/document/d/1YGnOEP_ydqkRCV4VPhgEAAwqYEe7PIyn/edit?usp=drive_link&amp;ouid=109572619207324994548&amp;rtpof=true&amp;sd=true" TargetMode="External"/><Relationship Id="rId8" Type="http://schemas.openxmlformats.org/officeDocument/2006/relationships/hyperlink" Target="https://docs.google.com/presentation/d/1N9NlAqGHH6MpkjZVwf9FMKWpGszYR1O_/edit?usp=drive_link&amp;ouid=109572619207324994548&amp;rtpof=true&amp;sd=tru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cJESZfCxaBrKSiXn7UJ_7Kl87tTQrTWD" TargetMode="External"/><Relationship Id="rId2" Type="http://schemas.openxmlformats.org/officeDocument/2006/relationships/hyperlink" Target="https://drive.google.com/open?id=1p9yBuuyf_Ep9Me9Ol_ztP1PcZd1wzWP3" TargetMode="External"/><Relationship Id="rId3" Type="http://schemas.openxmlformats.org/officeDocument/2006/relationships/hyperlink" Target="https://drive.google.com/open?id=1adhIsjwyjjQuxeiJIzBrvWPxqZA6-rs_" TargetMode="External"/><Relationship Id="rId4" Type="http://schemas.openxmlformats.org/officeDocument/2006/relationships/hyperlink" Target="https://drive.google.com/open?id=1io-mHdTTwQDlQSvx5wLdoTknuKFUz30y" TargetMode="External"/><Relationship Id="rId5" Type="http://schemas.openxmlformats.org/officeDocument/2006/relationships/hyperlink" Target="https://drive.google.com/open?id=1RxEmb4EpkSekBBRBRomQA8hzc_JQrqZI" TargetMode="External"/><Relationship Id="rId6" Type="http://schemas.openxmlformats.org/officeDocument/2006/relationships/hyperlink" Target="https://drive.google.com/open?id=1g7km6768_QT3qM0xPRLUMwMCok1Ghe1b" TargetMode="External"/><Relationship Id="rId7" Type="http://schemas.openxmlformats.org/officeDocument/2006/relationships/hyperlink" Target="https://drive.google.com/open?id=1mvqTXndU-1CdHwEmyMF59FuihBX538KZ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open?id=1wV26GFpjP4UKadI-tKnz6salodT4LnF7" TargetMode="External"/><Relationship Id="rId10" Type="http://schemas.openxmlformats.org/officeDocument/2006/relationships/hyperlink" Target="https://drive.google.com/open?id=16x0venGgrZ9wXOyoQG6XsD4x2lC-QHZa" TargetMode="External"/><Relationship Id="rId13" Type="http://schemas.openxmlformats.org/officeDocument/2006/relationships/drawing" Target="../drawings/drawing4.xml"/><Relationship Id="rId12" Type="http://schemas.openxmlformats.org/officeDocument/2006/relationships/hyperlink" Target="https://drive.google.com/open?id=12v4_Y0UnSZuYo5L995KpIchuv3HBbDTV" TargetMode="External"/><Relationship Id="rId1" Type="http://schemas.openxmlformats.org/officeDocument/2006/relationships/hyperlink" Target="https://drive.google.com/open?id=1Y4SlA8BdIeuwR_nJc9irKI9cs202JeB_" TargetMode="External"/><Relationship Id="rId2" Type="http://schemas.openxmlformats.org/officeDocument/2006/relationships/hyperlink" Target="https://drive.google.com/open?id=13w4-DbhZxtAyGLIcG_TE9uAPGU6DlDbl" TargetMode="External"/><Relationship Id="rId3" Type="http://schemas.openxmlformats.org/officeDocument/2006/relationships/hyperlink" Target="https://drive.google.com/open?id=1D97TyqGvFUL2uzqDOiizoggeihjJS25i" TargetMode="External"/><Relationship Id="rId4" Type="http://schemas.openxmlformats.org/officeDocument/2006/relationships/hyperlink" Target="https://drive.google.com/open?id=1oT94f7iYPGK9BdVslL0cY6KT29dxWno9" TargetMode="External"/><Relationship Id="rId9" Type="http://schemas.openxmlformats.org/officeDocument/2006/relationships/hyperlink" Target="https://drive.google.com/open?id=1yE9xCnKnMXZMzvX00CZ6q7gctddnd9zA" TargetMode="External"/><Relationship Id="rId5" Type="http://schemas.openxmlformats.org/officeDocument/2006/relationships/hyperlink" Target="https://drive.google.com/open?id=1Z2hi0p2UpqX4c3AigBQ446Qh_fqNHzei" TargetMode="External"/><Relationship Id="rId6" Type="http://schemas.openxmlformats.org/officeDocument/2006/relationships/hyperlink" Target="https://drive.google.com/open?id=1pyU0PiyCEuNebLA8rmu2DlHUJzfINMoT" TargetMode="External"/><Relationship Id="rId7" Type="http://schemas.openxmlformats.org/officeDocument/2006/relationships/hyperlink" Target="https://drive.google.com/open?id=1Oo0bklyIyT-CmAqlW9yWp_z_VavTduh3" TargetMode="External"/><Relationship Id="rId8" Type="http://schemas.openxmlformats.org/officeDocument/2006/relationships/hyperlink" Target="https://drive.google.com/open?id=1l018Pcp0_-CUJxZuvxxiF0CqakHgJMu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5.38"/>
    <col customWidth="1" hidden="1" min="2" max="2" width="10.63"/>
    <col customWidth="1" min="3" max="3" width="17.63"/>
    <col customWidth="1" min="4" max="4" width="31.63"/>
    <col customWidth="1" hidden="1" min="5" max="5" width="23.5"/>
    <col customWidth="1" min="6" max="6" width="29.0"/>
    <col customWidth="1" min="7" max="7" width="61.75"/>
    <col customWidth="1" min="8" max="8" width="34.13"/>
    <col customWidth="1" min="9" max="9" width="50.5"/>
    <col customWidth="1" hidden="1" min="10" max="11" width="25.13"/>
    <col customWidth="1" min="12" max="13" width="25.13"/>
    <col customWidth="1" min="14" max="14" width="35.13"/>
    <col customWidth="1" min="15" max="15" width="22.38"/>
    <col customWidth="1" min="16" max="16" width="26.88"/>
    <col customWidth="1" min="17" max="17" width="55.63"/>
    <col customWidth="1" min="18" max="18" width="14.5"/>
    <col customWidth="1" min="19" max="19" width="6.88"/>
    <col customWidth="1" hidden="1" min="20" max="20" width="14.5"/>
    <col hidden="1" min="21" max="21" width="12.63"/>
    <col customWidth="1" min="22" max="25" width="16.63"/>
  </cols>
  <sheetData>
    <row r="1" ht="27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5" t="s">
        <v>20</v>
      </c>
      <c r="W1" s="5" t="s">
        <v>21</v>
      </c>
      <c r="X1" s="5" t="s">
        <v>22</v>
      </c>
      <c r="Y1" s="6" t="s">
        <v>23</v>
      </c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</row>
    <row r="2" ht="15.75" customHeight="1">
      <c r="A2" s="8">
        <v>1.0</v>
      </c>
      <c r="B2" s="9">
        <v>4.0</v>
      </c>
      <c r="C2" s="10" t="s">
        <v>24</v>
      </c>
      <c r="D2" s="11" t="s">
        <v>25</v>
      </c>
      <c r="E2" s="12" t="s">
        <v>26</v>
      </c>
      <c r="F2" s="11" t="s">
        <v>27</v>
      </c>
      <c r="G2" s="11" t="s">
        <v>28</v>
      </c>
      <c r="H2" s="12" t="s">
        <v>29</v>
      </c>
      <c r="I2" s="13" t="s">
        <v>30</v>
      </c>
      <c r="J2" s="13"/>
      <c r="K2" s="14" t="str">
        <f t="shared" ref="K2:K7" si="1">IFERROR(IF(LEFT(J2,2)="62",CONCAT("https://wa.me/62",J2),CONCAT("https://wa.me/628",RIGHT(J2,LEN(J2)-1))),"")</f>
        <v/>
      </c>
      <c r="L2" s="15">
        <f>IFERROR(Vlookup(C2,Response!$D$4:$L$1000,4,0),"")</f>
        <v>6285338633833</v>
      </c>
      <c r="M2" s="14" t="str">
        <f t="shared" ref="M2:M7" si="2">IFERROR(IF(LEFT(L2,2)="62",CONCAT("https://wa.me/",L2),CONCAT("https://wa.me/62",RIGHT(L2,LEN(L2)-1))),"")</f>
        <v>https://wa.me/6285338633833</v>
      </c>
      <c r="N2" s="16" t="str">
        <f>IFERROR(Vlookup(C2,Response!$D$4:$L$1000,6,0),"")</f>
        <v>Ahmad Yani Muhlis, M.Pd dan Neneng Halidah, S.Pi</v>
      </c>
      <c r="O2" s="16">
        <f>IFERROR(Vlookup(C2,Response!$D$4:$L$1000,7,0),"")</f>
        <v>6285338248281</v>
      </c>
      <c r="P2" s="17" t="str">
        <f t="shared" ref="P2:P7" si="3">IFERROR(IF(LEFT(O2,2)="62",CONCAT("https://wa.me/",O2),CONCAT("https://wa.me/62",RIGHT(O2,LEN(L2)-1))),"")</f>
        <v>https://wa.me/6285338248281</v>
      </c>
      <c r="Q2" s="18" t="s">
        <v>31</v>
      </c>
      <c r="R2" s="19" t="s">
        <v>32</v>
      </c>
      <c r="S2" s="20">
        <f>IFERROR(VLOOKUP(C2,OTP!$B$4:$D$50,3,0),"")</f>
        <v>73829</v>
      </c>
      <c r="T2" s="21" t="b">
        <v>0</v>
      </c>
      <c r="U2" s="21" t="b">
        <v>0</v>
      </c>
      <c r="V2" s="22" t="str">
        <f>IFERROR(Vlookup(C2,'Copy of Response'!$C$4:$G$86,4,0),"")</f>
        <v>https://drive.google.com/open?id=1wV26GFpjP4UKadI-tKnz6salodT4LnF7</v>
      </c>
      <c r="W2" s="23" t="str">
        <f>IFERROR(Vlookup(C2,'Copy of Response'!$C$4:$G$86,5,0),"")</f>
        <v>https://drive.google.com/open?id=12v4_Y0UnSZuYo5L995KpIchuv3HBbDTV</v>
      </c>
      <c r="X2" s="23" t="str">
        <f>IFERROR(Vlookup(C2,Response!$D$4:$L$1000,8,0),"")</f>
        <v>https://drive.google.com/open?id=1mvqTXndU-1CdHwEmyMF59FuihBX538KZ</v>
      </c>
      <c r="Y2" s="24"/>
    </row>
    <row r="3" ht="15.75" customHeight="1">
      <c r="A3" s="25">
        <v>2.0</v>
      </c>
      <c r="B3" s="26"/>
      <c r="C3" s="27" t="s">
        <v>33</v>
      </c>
      <c r="D3" s="11" t="s">
        <v>34</v>
      </c>
      <c r="E3" s="28"/>
      <c r="F3" s="11" t="s">
        <v>35</v>
      </c>
      <c r="G3" s="11" t="s">
        <v>36</v>
      </c>
      <c r="H3" s="28" t="s">
        <v>37</v>
      </c>
      <c r="I3" s="13" t="s">
        <v>30</v>
      </c>
      <c r="J3" s="29"/>
      <c r="K3" s="14" t="str">
        <f t="shared" si="1"/>
        <v/>
      </c>
      <c r="L3" s="15">
        <f>IFERROR(Vlookup(C3,Response!$D$4:$L$1000,4,0),"")</f>
        <v>6282147370989</v>
      </c>
      <c r="M3" s="14" t="str">
        <f t="shared" si="2"/>
        <v>https://wa.me/6282147370989</v>
      </c>
      <c r="N3" s="16" t="str">
        <f>IFERROR(Vlookup(C3,Response!$D$4:$L$1000,6,0),"")</f>
        <v>NUR AINI</v>
      </c>
      <c r="O3" s="16">
        <f>IFERROR(Vlookup(C3,Response!$D$4:$L$1000,7,0),"")</f>
        <v>6282339039387</v>
      </c>
      <c r="P3" s="17" t="str">
        <f t="shared" si="3"/>
        <v>https://wa.me/6282339039387</v>
      </c>
      <c r="Q3" s="30" t="s">
        <v>38</v>
      </c>
      <c r="R3" s="19" t="s">
        <v>39</v>
      </c>
      <c r="S3" s="20">
        <f>IFERROR(VLOOKUP(C3,OTP!$B$4:$D$50,3,0),"")</f>
        <v>56771</v>
      </c>
      <c r="T3" s="31"/>
      <c r="U3" s="31"/>
      <c r="V3" s="22" t="str">
        <f>IFERROR(Vlookup(C3,'Copy of Response'!$C$4:$G$86,4,0),"")</f>
        <v>https://drive.google.com/open?id=1Y4SlA8BdIeuwR_nJc9irKI9cs202JeB_</v>
      </c>
      <c r="W3" s="23" t="str">
        <f>IFERROR(Vlookup(C3,'Copy of Response'!$C$4:$G$86,5,0),"")</f>
        <v>https://drive.google.com/open?id=13w4-DbhZxtAyGLIcG_TE9uAPGU6DlDbl</v>
      </c>
      <c r="X3" s="23" t="str">
        <f>IFERROR(Vlookup(C3,Response!$D$4:$L$1000,8,0),"")</f>
        <v>https://drive.google.com/open?id=1g7km6768_QT3qM0xPRLUMwMCok1Ghe1b</v>
      </c>
      <c r="Y3" s="24"/>
    </row>
    <row r="4" ht="15.75" customHeight="1">
      <c r="A4" s="8">
        <v>3.0</v>
      </c>
      <c r="B4" s="9"/>
      <c r="C4" s="10" t="s">
        <v>40</v>
      </c>
      <c r="D4" s="11" t="s">
        <v>41</v>
      </c>
      <c r="E4" s="12"/>
      <c r="F4" s="11" t="s">
        <v>42</v>
      </c>
      <c r="G4" s="11" t="s">
        <v>43</v>
      </c>
      <c r="H4" s="12" t="s">
        <v>44</v>
      </c>
      <c r="I4" s="13" t="s">
        <v>30</v>
      </c>
      <c r="J4" s="13"/>
      <c r="K4" s="14" t="str">
        <f t="shared" si="1"/>
        <v/>
      </c>
      <c r="L4" s="15">
        <f>IFERROR(Vlookup(C4,Response!$D$4:$L$1000,4,0),"")</f>
        <v>628113902419</v>
      </c>
      <c r="M4" s="14" t="str">
        <f t="shared" si="2"/>
        <v>https://wa.me/628113902419</v>
      </c>
      <c r="N4" s="16" t="str">
        <f>IFERROR(Vlookup(C4,Response!$D$4:$L$1000,6,0),"")</f>
        <v>M, Adi Farhan</v>
      </c>
      <c r="O4" s="16">
        <f>IFERROR(Vlookup(C4,Response!$D$4:$L$1000,7,0),"")</f>
        <v>6285253817944</v>
      </c>
      <c r="P4" s="17" t="str">
        <f t="shared" si="3"/>
        <v>https://wa.me/6285253817944</v>
      </c>
      <c r="Q4" s="32" t="s">
        <v>45</v>
      </c>
      <c r="R4" s="19" t="s">
        <v>46</v>
      </c>
      <c r="S4" s="20">
        <f>IFERROR(VLOOKUP(C4,OTP!$B$4:$D$50,3,0),"")</f>
        <v>99363</v>
      </c>
      <c r="T4" s="21"/>
      <c r="U4" s="21"/>
      <c r="V4" s="22" t="str">
        <f>IFERROR(Vlookup(C4,'Copy of Response'!$C$4:$G$86,4,0),"")</f>
        <v>https://drive.google.com/open?id=1Oo0bklyIyT-CmAqlW9yWp_z_VavTduh3</v>
      </c>
      <c r="W4" s="23" t="str">
        <f>IFERROR(Vlookup(C4,'Copy of Response'!$C$4:$G$86,5,0),"")</f>
        <v>https://drive.google.com/open?id=1l018Pcp0_-CUJxZuvxxiF0CqakHgJMuW</v>
      </c>
      <c r="X4" s="23" t="str">
        <f>IFERROR(Vlookup(C4,Response!$D$4:$L$1000,8,0),"")</f>
        <v>https://drive.google.com/open?id=1RxEmb4EpkSekBBRBRomQA8hzc_JQrqZI</v>
      </c>
      <c r="Y4" s="24"/>
    </row>
    <row r="5" ht="15.75" customHeight="1">
      <c r="A5" s="25">
        <v>4.0</v>
      </c>
      <c r="B5" s="26"/>
      <c r="C5" s="27" t="s">
        <v>47</v>
      </c>
      <c r="D5" s="11" t="s">
        <v>48</v>
      </c>
      <c r="E5" s="28"/>
      <c r="F5" s="11" t="s">
        <v>49</v>
      </c>
      <c r="G5" s="11" t="s">
        <v>50</v>
      </c>
      <c r="H5" s="28" t="s">
        <v>51</v>
      </c>
      <c r="I5" s="13" t="s">
        <v>30</v>
      </c>
      <c r="J5" s="29"/>
      <c r="K5" s="14" t="str">
        <f t="shared" si="1"/>
        <v/>
      </c>
      <c r="L5" s="15">
        <f>IFERROR(Vlookup(C5,Response!$D$4:$L$1000,4,0),"")</f>
        <v>6285238780613</v>
      </c>
      <c r="M5" s="14" t="str">
        <f t="shared" si="2"/>
        <v>https://wa.me/6285238780613</v>
      </c>
      <c r="N5" s="16" t="str">
        <f>IFERROR(Vlookup(C5,Response!$D$4:$L$1000,6,0),"")</f>
        <v>Yhunita Ramdhani </v>
      </c>
      <c r="O5" s="16">
        <f>IFERROR(Vlookup(C5,Response!$D$4:$L$1000,7,0),"")</f>
        <v>6285138846511</v>
      </c>
      <c r="P5" s="32" t="str">
        <f t="shared" si="3"/>
        <v>https://wa.me/6285138846511</v>
      </c>
      <c r="Q5" s="30" t="s">
        <v>52</v>
      </c>
      <c r="R5" s="19" t="s">
        <v>53</v>
      </c>
      <c r="S5" s="20">
        <f>IFERROR(VLOOKUP(C5,OTP!$B$4:$D$50,3,0),"")</f>
        <v>16865</v>
      </c>
      <c r="T5" s="31"/>
      <c r="U5" s="31"/>
      <c r="V5" s="22" t="str">
        <f>IFERROR(Vlookup(C5,'Copy of Response'!$C$4:$G$86,4,0),"")</f>
        <v>https://drive.google.com/open?id=1Z2hi0p2UpqX4c3AigBQ446Qh_fqNHzei</v>
      </c>
      <c r="W5" s="23" t="str">
        <f>IFERROR(Vlookup(C5,'Copy of Response'!$C$4:$G$86,5,0),"")</f>
        <v>https://drive.google.com/open?id=1pyU0PiyCEuNebLA8rmu2DlHUJzfINMoT</v>
      </c>
      <c r="X5" s="23" t="str">
        <f>IFERROR(Vlookup(C5,Response!$D$4:$L$1000,8,0),"")</f>
        <v>https://drive.google.com/open?id=1cJESZfCxaBrKSiXn7UJ_7Kl87tTQrTWD</v>
      </c>
      <c r="Y5" s="24"/>
    </row>
    <row r="6" ht="15.75" customHeight="1">
      <c r="A6" s="8">
        <v>5.0</v>
      </c>
      <c r="B6" s="9"/>
      <c r="C6" s="10" t="s">
        <v>54</v>
      </c>
      <c r="D6" s="11" t="s">
        <v>55</v>
      </c>
      <c r="E6" s="12"/>
      <c r="F6" s="11" t="s">
        <v>56</v>
      </c>
      <c r="G6" s="11" t="s">
        <v>57</v>
      </c>
      <c r="H6" s="12" t="s">
        <v>58</v>
      </c>
      <c r="I6" s="13" t="s">
        <v>30</v>
      </c>
      <c r="J6" s="13"/>
      <c r="K6" s="14" t="str">
        <f t="shared" si="1"/>
        <v/>
      </c>
      <c r="L6" s="15">
        <f>IFERROR(Vlookup(C6,Response!$D$4:$L$1000,4,0),"")</f>
        <v>6281353448844</v>
      </c>
      <c r="M6" s="14" t="str">
        <f t="shared" si="2"/>
        <v>https://wa.me/6281353448844</v>
      </c>
      <c r="N6" s="16" t="str">
        <f>IFERROR(Vlookup(C6,Response!$D$4:$L$1000,6,0),"")</f>
        <v>Fazhurrahman, S.STP., M.AP</v>
      </c>
      <c r="O6" s="16">
        <f>IFERROR(Vlookup(C6,Response!$D$4:$L$1000,7,0),"")</f>
        <v>6285337148341</v>
      </c>
      <c r="P6" s="32" t="str">
        <f t="shared" si="3"/>
        <v>https://wa.me/6285337148341</v>
      </c>
      <c r="Q6" s="32" t="s">
        <v>59</v>
      </c>
      <c r="R6" s="19" t="s">
        <v>60</v>
      </c>
      <c r="S6" s="20">
        <f>IFERROR(VLOOKUP(C6,OTP!$B$4:$D$50,3,0),"")</f>
        <v>62183</v>
      </c>
      <c r="T6" s="21"/>
      <c r="U6" s="21"/>
      <c r="V6" s="22" t="str">
        <f>IFERROR(Vlookup(C6,'Copy of Response'!$C$4:$G$86,4,0),"")</f>
        <v>https://drive.google.com/open?id=1yE9xCnKnMXZMzvX00CZ6q7gctddnd9zA</v>
      </c>
      <c r="W6" s="23" t="str">
        <f>IFERROR(Vlookup(C6,'Copy of Response'!$C$4:$G$86,5,0),"")</f>
        <v>https://drive.google.com/open?id=16x0venGgrZ9wXOyoQG6XsD4x2lC-QHZa</v>
      </c>
      <c r="X6" s="23" t="str">
        <f>IFERROR(Vlookup(C6,Response!$D$4:$L$1000,8,0),"")</f>
        <v>https://drive.google.com/open?id=1adhIsjwyjjQuxeiJIzBrvWPxqZA6-rs_</v>
      </c>
      <c r="Y6" s="24"/>
    </row>
    <row r="7" ht="15.75" customHeight="1">
      <c r="A7" s="25">
        <v>6.0</v>
      </c>
      <c r="B7" s="26"/>
      <c r="C7" s="27" t="s">
        <v>61</v>
      </c>
      <c r="D7" s="11" t="s">
        <v>62</v>
      </c>
      <c r="E7" s="28"/>
      <c r="F7" s="11" t="s">
        <v>63</v>
      </c>
      <c r="G7" s="11" t="s">
        <v>64</v>
      </c>
      <c r="H7" s="28" t="s">
        <v>65</v>
      </c>
      <c r="I7" s="13" t="s">
        <v>30</v>
      </c>
      <c r="J7" s="29"/>
      <c r="K7" s="14" t="str">
        <f t="shared" si="1"/>
        <v/>
      </c>
      <c r="L7" s="15">
        <f>IFERROR(Vlookup(C7,Response!$D$4:$L$1000,4,0),"")</f>
        <v>6285253961333</v>
      </c>
      <c r="M7" s="14" t="str">
        <f t="shared" si="2"/>
        <v>https://wa.me/6285253961333</v>
      </c>
      <c r="N7" s="16" t="str">
        <f>IFERROR(Vlookup(C7,Response!$D$4:$L$1000,6,0),"")</f>
        <v>Muhammad Rasyidin,S.Kom,MM</v>
      </c>
      <c r="O7" s="16">
        <f>IFERROR(Vlookup(C7,Response!$D$4:$L$1000,7,0),"")</f>
        <v>628123753515</v>
      </c>
      <c r="P7" s="32" t="str">
        <f t="shared" si="3"/>
        <v>https://wa.me/628123753515</v>
      </c>
      <c r="Q7" s="30" t="s">
        <v>66</v>
      </c>
      <c r="R7" s="19" t="s">
        <v>67</v>
      </c>
      <c r="S7" s="20">
        <f>IFERROR(VLOOKUP(C7,OTP!$B$4:$D$50,3,0),"")</f>
        <v>66331</v>
      </c>
      <c r="T7" s="31"/>
      <c r="U7" s="31"/>
      <c r="V7" s="22" t="str">
        <f>IFERROR(Vlookup(C7,'Copy of Response'!$C$4:$G$86,4,0),"")</f>
        <v>https://drive.google.com/open?id=1D97TyqGvFUL2uzqDOiizoggeihjJS25i</v>
      </c>
      <c r="W7" s="23" t="str">
        <f>IFERROR(Vlookup(C7,'Copy of Response'!$C$4:$G$86,5,0),"")</f>
        <v>https://drive.google.com/open?id=1oT94f7iYPGK9BdVslL0cY6KT29dxWno9</v>
      </c>
      <c r="X7" s="23" t="str">
        <f>IFERROR(Vlookup(C7,Response!$D$4:$L$1000,8,0),"")</f>
        <v>https://drive.google.com/open?id=1io-mHdTTwQDlQSvx5wLdoTknuKFUz30y</v>
      </c>
      <c r="Y7" s="24"/>
    </row>
    <row r="8" ht="15.75" customHeight="1">
      <c r="A8" s="7"/>
      <c r="N8" s="33"/>
      <c r="O8" s="33"/>
      <c r="P8" s="33"/>
      <c r="Q8" s="33"/>
      <c r="V8" s="33"/>
      <c r="W8" s="33"/>
      <c r="X8" s="33"/>
    </row>
    <row r="9" ht="15.75" customHeight="1">
      <c r="A9" s="7"/>
      <c r="N9" s="33"/>
      <c r="O9" s="33"/>
      <c r="P9" s="33"/>
      <c r="Q9" s="33"/>
      <c r="V9" s="33"/>
      <c r="W9" s="33"/>
      <c r="X9" s="33"/>
    </row>
    <row r="10" ht="15.75" customHeight="1">
      <c r="A10" s="7"/>
      <c r="N10" s="33"/>
      <c r="O10" s="33"/>
      <c r="P10" s="33"/>
      <c r="Q10" s="33"/>
      <c r="V10" s="33"/>
      <c r="W10" s="33"/>
      <c r="X10" s="33"/>
    </row>
    <row r="11" ht="15.75" customHeight="1">
      <c r="A11" s="7"/>
      <c r="N11" s="33"/>
      <c r="O11" s="33"/>
      <c r="P11" s="33"/>
      <c r="Q11" s="33"/>
      <c r="V11" s="33"/>
      <c r="W11" s="33"/>
      <c r="X11" s="33"/>
    </row>
    <row r="12" ht="15.75" customHeight="1">
      <c r="A12" s="7"/>
      <c r="N12" s="33"/>
      <c r="O12" s="33"/>
      <c r="P12" s="33"/>
      <c r="Q12" s="33"/>
      <c r="V12" s="33"/>
      <c r="W12" s="33"/>
      <c r="X12" s="33"/>
    </row>
    <row r="13" ht="15.75" customHeight="1">
      <c r="A13" s="7"/>
      <c r="N13" s="33"/>
      <c r="O13" s="33"/>
      <c r="P13" s="33"/>
      <c r="Q13" s="33"/>
      <c r="V13" s="33"/>
      <c r="W13" s="33"/>
      <c r="X13" s="33"/>
    </row>
    <row r="14" ht="15.75" customHeight="1">
      <c r="A14" s="7"/>
      <c r="N14" s="33"/>
      <c r="O14" s="33"/>
      <c r="P14" s="33"/>
      <c r="Q14" s="33"/>
      <c r="V14" s="33"/>
      <c r="W14" s="33"/>
      <c r="X14" s="33"/>
    </row>
    <row r="15" ht="15.75" customHeight="1">
      <c r="A15" s="7"/>
      <c r="N15" s="33"/>
      <c r="O15" s="33"/>
      <c r="P15" s="33"/>
      <c r="Q15" s="33"/>
      <c r="V15" s="33"/>
      <c r="W15" s="33"/>
      <c r="X15" s="33"/>
    </row>
    <row r="16" ht="15.75" customHeight="1">
      <c r="A16" s="7"/>
      <c r="N16" s="33"/>
      <c r="O16" s="33"/>
      <c r="P16" s="33"/>
      <c r="Q16" s="33"/>
      <c r="V16" s="33"/>
      <c r="W16" s="33"/>
      <c r="X16" s="33"/>
    </row>
    <row r="17" ht="15.75" customHeight="1">
      <c r="A17" s="7"/>
      <c r="N17" s="33"/>
      <c r="O17" s="33"/>
      <c r="P17" s="33"/>
      <c r="Q17" s="33"/>
      <c r="V17" s="33"/>
      <c r="W17" s="33"/>
      <c r="X17" s="33"/>
    </row>
    <row r="18" ht="15.75" customHeight="1">
      <c r="A18" s="7"/>
      <c r="N18" s="33"/>
      <c r="O18" s="33"/>
      <c r="P18" s="33"/>
      <c r="Q18" s="33"/>
      <c r="V18" s="33"/>
      <c r="W18" s="33"/>
      <c r="X18" s="33"/>
    </row>
    <row r="19" ht="15.75" customHeight="1">
      <c r="A19" s="7"/>
      <c r="N19" s="33"/>
      <c r="O19" s="33"/>
      <c r="P19" s="33"/>
      <c r="Q19" s="33"/>
      <c r="V19" s="33"/>
      <c r="W19" s="33"/>
      <c r="X19" s="33"/>
    </row>
    <row r="20" ht="15.75" customHeight="1">
      <c r="A20" s="7"/>
      <c r="N20" s="33"/>
      <c r="O20" s="33"/>
      <c r="P20" s="33"/>
      <c r="Q20" s="33"/>
      <c r="V20" s="33"/>
      <c r="W20" s="33"/>
      <c r="X20" s="33"/>
    </row>
    <row r="21" ht="15.75" customHeight="1">
      <c r="A21" s="7"/>
      <c r="N21" s="33"/>
      <c r="O21" s="33"/>
      <c r="P21" s="33"/>
      <c r="Q21" s="33"/>
      <c r="V21" s="33"/>
      <c r="W21" s="33"/>
      <c r="X21" s="33"/>
    </row>
    <row r="22" ht="15.75" customHeight="1">
      <c r="A22" s="7"/>
      <c r="N22" s="33"/>
      <c r="O22" s="33"/>
      <c r="P22" s="33"/>
      <c r="Q22" s="33"/>
      <c r="V22" s="33"/>
      <c r="W22" s="33"/>
      <c r="X22" s="33"/>
    </row>
    <row r="23" ht="15.75" customHeight="1">
      <c r="A23" s="7"/>
      <c r="N23" s="33"/>
      <c r="O23" s="33"/>
      <c r="P23" s="33"/>
      <c r="Q23" s="33"/>
      <c r="V23" s="33"/>
      <c r="W23" s="33"/>
      <c r="X23" s="33"/>
    </row>
    <row r="24" ht="15.75" customHeight="1">
      <c r="A24" s="7"/>
      <c r="N24" s="33"/>
      <c r="O24" s="33"/>
      <c r="P24" s="33"/>
      <c r="Q24" s="33"/>
      <c r="V24" s="33"/>
      <c r="W24" s="33"/>
      <c r="X24" s="33"/>
    </row>
    <row r="25" ht="15.75" customHeight="1">
      <c r="A25" s="7"/>
      <c r="N25" s="33"/>
      <c r="O25" s="33"/>
      <c r="P25" s="33"/>
      <c r="Q25" s="33"/>
      <c r="V25" s="33"/>
      <c r="W25" s="33"/>
      <c r="X25" s="33"/>
    </row>
    <row r="26" ht="15.75" customHeight="1">
      <c r="A26" s="7"/>
      <c r="N26" s="33"/>
      <c r="O26" s="33"/>
      <c r="P26" s="33"/>
      <c r="Q26" s="33"/>
      <c r="V26" s="33"/>
      <c r="W26" s="33"/>
      <c r="X26" s="33"/>
    </row>
    <row r="27" ht="15.75" customHeight="1">
      <c r="A27" s="7"/>
      <c r="N27" s="33"/>
      <c r="O27" s="33"/>
      <c r="P27" s="33"/>
      <c r="Q27" s="33"/>
      <c r="V27" s="33"/>
      <c r="W27" s="33"/>
      <c r="X27" s="33"/>
    </row>
    <row r="28" ht="15.75" customHeight="1">
      <c r="A28" s="7"/>
      <c r="N28" s="33"/>
      <c r="O28" s="33"/>
      <c r="P28" s="33"/>
      <c r="Q28" s="33"/>
      <c r="V28" s="33"/>
      <c r="W28" s="33"/>
      <c r="X28" s="33"/>
    </row>
    <row r="29" ht="15.75" customHeight="1">
      <c r="A29" s="7"/>
      <c r="N29" s="33"/>
      <c r="O29" s="33"/>
      <c r="P29" s="33"/>
      <c r="Q29" s="33"/>
      <c r="V29" s="33"/>
      <c r="W29" s="33"/>
      <c r="X29" s="33"/>
    </row>
    <row r="30" ht="15.75" customHeight="1">
      <c r="A30" s="7"/>
      <c r="N30" s="33"/>
      <c r="O30" s="33"/>
      <c r="P30" s="33"/>
      <c r="Q30" s="33"/>
      <c r="V30" s="33"/>
      <c r="W30" s="33"/>
      <c r="X30" s="33"/>
    </row>
    <row r="31" ht="15.75" customHeight="1">
      <c r="A31" s="7"/>
      <c r="N31" s="33"/>
      <c r="O31" s="33"/>
      <c r="P31" s="33"/>
      <c r="Q31" s="33"/>
      <c r="V31" s="33"/>
      <c r="W31" s="33"/>
      <c r="X31" s="33"/>
    </row>
    <row r="32" ht="15.75" customHeight="1">
      <c r="A32" s="7"/>
      <c r="N32" s="33"/>
      <c r="O32" s="33"/>
      <c r="P32" s="33"/>
      <c r="Q32" s="33"/>
      <c r="V32" s="33"/>
      <c r="W32" s="33"/>
      <c r="X32" s="33"/>
    </row>
    <row r="33" ht="15.75" customHeight="1">
      <c r="A33" s="7"/>
      <c r="N33" s="33"/>
      <c r="O33" s="33"/>
      <c r="P33" s="33"/>
      <c r="Q33" s="33"/>
      <c r="V33" s="33"/>
      <c r="W33" s="33"/>
      <c r="X33" s="33"/>
    </row>
    <row r="34" ht="15.75" customHeight="1">
      <c r="A34" s="7"/>
      <c r="N34" s="33"/>
      <c r="O34" s="33"/>
      <c r="P34" s="33"/>
      <c r="Q34" s="33"/>
      <c r="V34" s="33"/>
      <c r="W34" s="33"/>
      <c r="X34" s="33"/>
    </row>
    <row r="35" ht="15.75" customHeight="1">
      <c r="A35" s="7"/>
      <c r="N35" s="33"/>
      <c r="O35" s="33"/>
      <c r="P35" s="33"/>
      <c r="Q35" s="33"/>
      <c r="V35" s="33"/>
      <c r="W35" s="33"/>
      <c r="X35" s="33"/>
    </row>
    <row r="36" ht="15.75" customHeight="1">
      <c r="A36" s="7"/>
      <c r="N36" s="33"/>
      <c r="O36" s="33"/>
      <c r="P36" s="33"/>
      <c r="Q36" s="33"/>
      <c r="V36" s="33"/>
      <c r="W36" s="33"/>
      <c r="X36" s="33"/>
    </row>
    <row r="37" ht="15.75" customHeight="1">
      <c r="A37" s="7"/>
      <c r="N37" s="33"/>
      <c r="O37" s="33"/>
      <c r="P37" s="33"/>
      <c r="Q37" s="33"/>
      <c r="V37" s="33"/>
      <c r="W37" s="33"/>
      <c r="X37" s="33"/>
    </row>
    <row r="38" ht="15.75" customHeight="1">
      <c r="A38" s="7"/>
      <c r="N38" s="33"/>
      <c r="O38" s="33"/>
      <c r="P38" s="33"/>
      <c r="Q38" s="33"/>
      <c r="V38" s="33"/>
      <c r="W38" s="33"/>
      <c r="X38" s="33"/>
    </row>
    <row r="39" ht="15.75" customHeight="1">
      <c r="A39" s="7"/>
      <c r="N39" s="33"/>
      <c r="O39" s="33"/>
      <c r="P39" s="33"/>
      <c r="Q39" s="33"/>
      <c r="V39" s="33"/>
      <c r="W39" s="33"/>
      <c r="X39" s="33"/>
    </row>
    <row r="40" ht="15.75" customHeight="1">
      <c r="A40" s="7"/>
      <c r="N40" s="33"/>
      <c r="O40" s="33"/>
      <c r="P40" s="33"/>
      <c r="Q40" s="33"/>
      <c r="V40" s="33"/>
      <c r="W40" s="33"/>
      <c r="X40" s="33"/>
    </row>
    <row r="41" ht="15.75" customHeight="1">
      <c r="A41" s="7"/>
      <c r="N41" s="33"/>
      <c r="O41" s="33"/>
      <c r="P41" s="33"/>
      <c r="Q41" s="33"/>
      <c r="V41" s="33"/>
      <c r="W41" s="33"/>
      <c r="X41" s="33"/>
    </row>
    <row r="42" ht="15.75" customHeight="1">
      <c r="A42" s="7"/>
      <c r="N42" s="33"/>
      <c r="O42" s="33"/>
      <c r="P42" s="33"/>
      <c r="Q42" s="33"/>
      <c r="V42" s="33"/>
      <c r="W42" s="33"/>
      <c r="X42" s="33"/>
    </row>
    <row r="43" ht="15.75" customHeight="1">
      <c r="A43" s="7"/>
      <c r="N43" s="33"/>
      <c r="O43" s="33"/>
      <c r="P43" s="33"/>
      <c r="Q43" s="33"/>
      <c r="V43" s="33"/>
      <c r="W43" s="33"/>
      <c r="X43" s="33"/>
    </row>
    <row r="44" ht="15.75" customHeight="1">
      <c r="A44" s="7"/>
      <c r="N44" s="33"/>
      <c r="O44" s="33"/>
      <c r="P44" s="33"/>
      <c r="Q44" s="33"/>
      <c r="V44" s="33"/>
      <c r="W44" s="33"/>
      <c r="X44" s="33"/>
    </row>
    <row r="45" ht="15.75" customHeight="1">
      <c r="A45" s="7"/>
      <c r="N45" s="33"/>
      <c r="O45" s="33"/>
      <c r="P45" s="33"/>
      <c r="Q45" s="33"/>
      <c r="V45" s="33"/>
      <c r="W45" s="33"/>
      <c r="X45" s="33"/>
    </row>
    <row r="46" ht="15.75" customHeight="1">
      <c r="A46" s="7"/>
      <c r="N46" s="33"/>
      <c r="O46" s="33"/>
      <c r="P46" s="33"/>
      <c r="Q46" s="33"/>
      <c r="V46" s="33"/>
      <c r="W46" s="33"/>
      <c r="X46" s="33"/>
    </row>
    <row r="47" ht="15.75" customHeight="1">
      <c r="A47" s="7"/>
      <c r="N47" s="33"/>
      <c r="O47" s="33"/>
      <c r="P47" s="33"/>
      <c r="Q47" s="33"/>
      <c r="V47" s="33"/>
      <c r="W47" s="33"/>
      <c r="X47" s="33"/>
    </row>
    <row r="48" ht="15.75" customHeight="1">
      <c r="A48" s="7"/>
      <c r="N48" s="33"/>
      <c r="O48" s="33"/>
      <c r="P48" s="33"/>
      <c r="Q48" s="33"/>
      <c r="V48" s="33"/>
      <c r="W48" s="33"/>
      <c r="X48" s="33"/>
    </row>
    <row r="49" ht="15.75" customHeight="1">
      <c r="A49" s="7"/>
      <c r="N49" s="33"/>
      <c r="O49" s="33"/>
      <c r="P49" s="33"/>
      <c r="Q49" s="33"/>
      <c r="V49" s="33"/>
      <c r="W49" s="33"/>
      <c r="X49" s="33"/>
    </row>
    <row r="50" ht="15.75" customHeight="1">
      <c r="A50" s="7"/>
      <c r="N50" s="33"/>
      <c r="O50" s="33"/>
      <c r="P50" s="33"/>
      <c r="Q50" s="33"/>
      <c r="V50" s="33"/>
      <c r="W50" s="33"/>
      <c r="X50" s="33"/>
    </row>
    <row r="51" ht="15.75" customHeight="1">
      <c r="A51" s="7"/>
      <c r="N51" s="33"/>
      <c r="O51" s="33"/>
      <c r="P51" s="33"/>
      <c r="Q51" s="33"/>
      <c r="V51" s="33"/>
      <c r="W51" s="33"/>
      <c r="X51" s="33"/>
    </row>
    <row r="52" ht="15.75" customHeight="1">
      <c r="A52" s="7"/>
      <c r="N52" s="33"/>
      <c r="O52" s="33"/>
      <c r="P52" s="33"/>
      <c r="Q52" s="33"/>
      <c r="V52" s="33"/>
      <c r="W52" s="33"/>
      <c r="X52" s="33"/>
    </row>
    <row r="53" ht="15.75" customHeight="1">
      <c r="A53" s="7"/>
      <c r="N53" s="33"/>
      <c r="O53" s="33"/>
      <c r="P53" s="33"/>
      <c r="Q53" s="33"/>
      <c r="V53" s="33"/>
      <c r="W53" s="33"/>
      <c r="X53" s="33"/>
    </row>
    <row r="54" ht="15.75" customHeight="1">
      <c r="A54" s="7"/>
      <c r="N54" s="33"/>
      <c r="O54" s="33"/>
      <c r="P54" s="33"/>
      <c r="Q54" s="33"/>
      <c r="V54" s="33"/>
      <c r="W54" s="33"/>
      <c r="X54" s="33"/>
    </row>
    <row r="55" ht="15.75" customHeight="1">
      <c r="A55" s="7"/>
      <c r="N55" s="33"/>
      <c r="O55" s="33"/>
      <c r="P55" s="33"/>
      <c r="Q55" s="33"/>
      <c r="V55" s="33"/>
      <c r="W55" s="33"/>
      <c r="X55" s="33"/>
    </row>
    <row r="56" ht="15.75" customHeight="1">
      <c r="A56" s="7"/>
      <c r="N56" s="33"/>
      <c r="O56" s="33"/>
      <c r="P56" s="33"/>
      <c r="Q56" s="33"/>
      <c r="V56" s="33"/>
      <c r="W56" s="33"/>
      <c r="X56" s="33"/>
    </row>
    <row r="57" ht="15.75" customHeight="1">
      <c r="A57" s="7"/>
      <c r="N57" s="33"/>
      <c r="O57" s="33"/>
      <c r="P57" s="33"/>
      <c r="Q57" s="33"/>
      <c r="V57" s="33"/>
      <c r="W57" s="33"/>
      <c r="X57" s="33"/>
    </row>
    <row r="58" ht="15.75" customHeight="1">
      <c r="A58" s="7"/>
      <c r="N58" s="33"/>
      <c r="O58" s="33"/>
      <c r="P58" s="33"/>
      <c r="Q58" s="33"/>
      <c r="V58" s="33"/>
      <c r="W58" s="33"/>
      <c r="X58" s="33"/>
    </row>
    <row r="59" ht="15.75" customHeight="1">
      <c r="A59" s="7"/>
      <c r="N59" s="33"/>
      <c r="O59" s="33"/>
      <c r="P59" s="33"/>
      <c r="Q59" s="33"/>
      <c r="V59" s="33"/>
      <c r="W59" s="33"/>
      <c r="X59" s="33"/>
    </row>
    <row r="60" ht="15.75" customHeight="1">
      <c r="A60" s="7"/>
      <c r="N60" s="33"/>
      <c r="O60" s="33"/>
      <c r="P60" s="33"/>
      <c r="Q60" s="33"/>
      <c r="V60" s="33"/>
      <c r="W60" s="33"/>
      <c r="X60" s="33"/>
    </row>
    <row r="61" ht="15.75" customHeight="1">
      <c r="A61" s="7"/>
      <c r="N61" s="33"/>
      <c r="O61" s="33"/>
      <c r="P61" s="33"/>
      <c r="Q61" s="33"/>
      <c r="V61" s="33"/>
      <c r="W61" s="33"/>
      <c r="X61" s="33"/>
    </row>
    <row r="62" ht="15.75" customHeight="1">
      <c r="A62" s="7"/>
      <c r="N62" s="33"/>
      <c r="O62" s="33"/>
      <c r="P62" s="33"/>
      <c r="Q62" s="33"/>
      <c r="V62" s="33"/>
      <c r="W62" s="33"/>
      <c r="X62" s="33"/>
    </row>
    <row r="63" ht="15.75" customHeight="1">
      <c r="A63" s="7"/>
      <c r="N63" s="33"/>
      <c r="O63" s="33"/>
      <c r="P63" s="33"/>
      <c r="Q63" s="33"/>
      <c r="V63" s="33"/>
      <c r="W63" s="33"/>
      <c r="X63" s="33"/>
    </row>
    <row r="64" ht="15.75" customHeight="1">
      <c r="A64" s="7"/>
      <c r="N64" s="33"/>
      <c r="O64" s="33"/>
      <c r="P64" s="33"/>
      <c r="Q64" s="33"/>
      <c r="V64" s="33"/>
      <c r="W64" s="33"/>
      <c r="X64" s="33"/>
    </row>
    <row r="65" ht="15.75" customHeight="1">
      <c r="A65" s="7"/>
      <c r="N65" s="33"/>
      <c r="O65" s="33"/>
      <c r="P65" s="33"/>
      <c r="Q65" s="33"/>
      <c r="V65" s="33"/>
      <c r="W65" s="33"/>
      <c r="X65" s="33"/>
    </row>
    <row r="66" ht="15.75" customHeight="1">
      <c r="A66" s="7"/>
      <c r="N66" s="33"/>
      <c r="O66" s="33"/>
      <c r="P66" s="33"/>
      <c r="Q66" s="33"/>
      <c r="V66" s="33"/>
      <c r="W66" s="33"/>
      <c r="X66" s="33"/>
    </row>
    <row r="67" ht="15.75" customHeight="1">
      <c r="A67" s="7"/>
      <c r="N67" s="33"/>
      <c r="O67" s="33"/>
      <c r="P67" s="33"/>
      <c r="Q67" s="33"/>
      <c r="V67" s="33"/>
      <c r="W67" s="33"/>
      <c r="X67" s="33"/>
    </row>
    <row r="68" ht="15.75" customHeight="1">
      <c r="A68" s="7"/>
      <c r="N68" s="33"/>
      <c r="O68" s="33"/>
      <c r="P68" s="33"/>
      <c r="Q68" s="33"/>
      <c r="V68" s="33"/>
      <c r="W68" s="33"/>
      <c r="X68" s="33"/>
    </row>
    <row r="69" ht="15.75" customHeight="1">
      <c r="A69" s="7"/>
      <c r="N69" s="33"/>
      <c r="O69" s="33"/>
      <c r="P69" s="33"/>
      <c r="Q69" s="33"/>
      <c r="V69" s="33"/>
      <c r="W69" s="33"/>
      <c r="X69" s="33"/>
    </row>
    <row r="70" ht="15.75" customHeight="1">
      <c r="A70" s="7"/>
      <c r="N70" s="33"/>
      <c r="O70" s="33"/>
      <c r="P70" s="33"/>
      <c r="Q70" s="33"/>
      <c r="V70" s="33"/>
      <c r="W70" s="33"/>
      <c r="X70" s="33"/>
    </row>
    <row r="71" ht="15.75" customHeight="1">
      <c r="A71" s="7"/>
      <c r="N71" s="33"/>
      <c r="O71" s="33"/>
      <c r="P71" s="33"/>
      <c r="Q71" s="33"/>
      <c r="V71" s="33"/>
      <c r="W71" s="33"/>
      <c r="X71" s="33"/>
    </row>
    <row r="72" ht="15.75" customHeight="1">
      <c r="A72" s="7"/>
      <c r="N72" s="33"/>
      <c r="O72" s="33"/>
      <c r="P72" s="33"/>
      <c r="Q72" s="33"/>
      <c r="V72" s="33"/>
      <c r="W72" s="33"/>
      <c r="X72" s="33"/>
    </row>
    <row r="73" ht="15.75" customHeight="1">
      <c r="A73" s="7"/>
      <c r="N73" s="33"/>
      <c r="O73" s="33"/>
      <c r="P73" s="33"/>
      <c r="Q73" s="33"/>
      <c r="V73" s="33"/>
      <c r="W73" s="33"/>
      <c r="X73" s="33"/>
    </row>
    <row r="74" ht="15.75" customHeight="1">
      <c r="A74" s="7"/>
      <c r="N74" s="33"/>
      <c r="O74" s="33"/>
      <c r="P74" s="33"/>
      <c r="Q74" s="33"/>
      <c r="V74" s="33"/>
      <c r="W74" s="33"/>
      <c r="X74" s="33"/>
    </row>
    <row r="75" ht="15.75" customHeight="1">
      <c r="A75" s="7"/>
      <c r="N75" s="33"/>
      <c r="O75" s="33"/>
      <c r="P75" s="33"/>
      <c r="Q75" s="33"/>
      <c r="V75" s="33"/>
      <c r="W75" s="33"/>
      <c r="X75" s="33"/>
    </row>
    <row r="76" ht="15.75" customHeight="1">
      <c r="A76" s="7"/>
      <c r="N76" s="33"/>
      <c r="O76" s="33"/>
      <c r="P76" s="33"/>
      <c r="Q76" s="33"/>
      <c r="V76" s="33"/>
      <c r="W76" s="33"/>
      <c r="X76" s="33"/>
    </row>
    <row r="77" ht="15.75" customHeight="1">
      <c r="A77" s="7"/>
      <c r="N77" s="33"/>
      <c r="O77" s="33"/>
      <c r="P77" s="33"/>
      <c r="Q77" s="33"/>
      <c r="V77" s="33"/>
      <c r="W77" s="33"/>
      <c r="X77" s="33"/>
    </row>
    <row r="78" ht="15.75" customHeight="1">
      <c r="A78" s="7"/>
      <c r="N78" s="33"/>
      <c r="O78" s="33"/>
      <c r="P78" s="33"/>
      <c r="Q78" s="33"/>
      <c r="V78" s="33"/>
      <c r="W78" s="33"/>
      <c r="X78" s="33"/>
    </row>
    <row r="79" ht="15.75" customHeight="1">
      <c r="A79" s="7"/>
      <c r="N79" s="33"/>
      <c r="O79" s="33"/>
      <c r="P79" s="33"/>
      <c r="Q79" s="33"/>
      <c r="V79" s="33"/>
      <c r="W79" s="33"/>
      <c r="X79" s="33"/>
    </row>
    <row r="80" ht="15.75" customHeight="1">
      <c r="A80" s="7"/>
      <c r="N80" s="33"/>
      <c r="O80" s="33"/>
      <c r="P80" s="33"/>
      <c r="Q80" s="33"/>
      <c r="V80" s="33"/>
      <c r="W80" s="33"/>
      <c r="X80" s="33"/>
    </row>
    <row r="81" ht="15.75" customHeight="1">
      <c r="A81" s="7"/>
      <c r="N81" s="33"/>
      <c r="O81" s="33"/>
      <c r="P81" s="33"/>
      <c r="Q81" s="33"/>
      <c r="V81" s="33"/>
      <c r="W81" s="33"/>
      <c r="X81" s="33"/>
    </row>
    <row r="82" ht="15.75" customHeight="1">
      <c r="A82" s="7"/>
      <c r="N82" s="33"/>
      <c r="O82" s="33"/>
      <c r="P82" s="33"/>
      <c r="Q82" s="33"/>
      <c r="V82" s="33"/>
      <c r="W82" s="33"/>
      <c r="X82" s="33"/>
    </row>
    <row r="83" ht="15.75" customHeight="1">
      <c r="A83" s="7"/>
      <c r="N83" s="33"/>
      <c r="O83" s="33"/>
      <c r="P83" s="33"/>
      <c r="Q83" s="33"/>
      <c r="V83" s="33"/>
      <c r="W83" s="33"/>
      <c r="X83" s="33"/>
    </row>
    <row r="84" ht="15.75" customHeight="1">
      <c r="A84" s="7"/>
      <c r="N84" s="33"/>
      <c r="O84" s="33"/>
      <c r="P84" s="33"/>
      <c r="Q84" s="33"/>
      <c r="V84" s="33"/>
      <c r="W84" s="33"/>
      <c r="X84" s="33"/>
    </row>
    <row r="85" ht="15.75" customHeight="1">
      <c r="A85" s="7"/>
      <c r="N85" s="33"/>
      <c r="O85" s="33"/>
      <c r="P85" s="33"/>
      <c r="Q85" s="33"/>
      <c r="V85" s="33"/>
      <c r="W85" s="33"/>
      <c r="X85" s="33"/>
    </row>
    <row r="86" ht="15.75" customHeight="1">
      <c r="A86" s="7"/>
      <c r="N86" s="33"/>
      <c r="O86" s="33"/>
      <c r="P86" s="33"/>
      <c r="Q86" s="33"/>
      <c r="V86" s="33"/>
      <c r="W86" s="33"/>
      <c r="X86" s="33"/>
    </row>
    <row r="87" ht="15.75" customHeight="1">
      <c r="A87" s="7"/>
      <c r="N87" s="33"/>
      <c r="O87" s="33"/>
      <c r="P87" s="33"/>
      <c r="Q87" s="33"/>
      <c r="V87" s="33"/>
      <c r="W87" s="33"/>
      <c r="X87" s="33"/>
    </row>
    <row r="88" ht="15.75" customHeight="1">
      <c r="A88" s="7"/>
      <c r="N88" s="33"/>
      <c r="O88" s="33"/>
      <c r="P88" s="33"/>
      <c r="Q88" s="33"/>
      <c r="V88" s="33"/>
      <c r="W88" s="33"/>
      <c r="X88" s="33"/>
    </row>
    <row r="89" ht="15.75" customHeight="1">
      <c r="A89" s="7"/>
      <c r="N89" s="33"/>
      <c r="O89" s="33"/>
      <c r="P89" s="33"/>
      <c r="Q89" s="33"/>
      <c r="V89" s="33"/>
      <c r="W89" s="33"/>
      <c r="X89" s="33"/>
    </row>
    <row r="90" ht="15.75" customHeight="1">
      <c r="A90" s="7"/>
      <c r="N90" s="33"/>
      <c r="O90" s="33"/>
      <c r="P90" s="33"/>
      <c r="Q90" s="33"/>
      <c r="V90" s="33"/>
      <c r="W90" s="33"/>
      <c r="X90" s="33"/>
    </row>
    <row r="91" ht="15.75" customHeight="1">
      <c r="A91" s="7"/>
      <c r="N91" s="33"/>
      <c r="O91" s="33"/>
      <c r="P91" s="33"/>
      <c r="Q91" s="33"/>
      <c r="V91" s="33"/>
      <c r="W91" s="33"/>
      <c r="X91" s="33"/>
    </row>
    <row r="92" ht="15.75" customHeight="1">
      <c r="A92" s="7"/>
      <c r="N92" s="33"/>
      <c r="O92" s="33"/>
      <c r="P92" s="33"/>
      <c r="Q92" s="33"/>
      <c r="V92" s="33"/>
      <c r="W92" s="33"/>
      <c r="X92" s="33"/>
    </row>
    <row r="93" ht="15.75" customHeight="1">
      <c r="A93" s="7"/>
      <c r="N93" s="33"/>
      <c r="O93" s="33"/>
      <c r="P93" s="33"/>
      <c r="Q93" s="33"/>
      <c r="V93" s="33"/>
      <c r="W93" s="33"/>
      <c r="X93" s="33"/>
    </row>
    <row r="94" ht="15.75" customHeight="1">
      <c r="A94" s="7"/>
      <c r="N94" s="33"/>
      <c r="O94" s="33"/>
      <c r="P94" s="33"/>
      <c r="Q94" s="33"/>
      <c r="V94" s="33"/>
      <c r="W94" s="33"/>
      <c r="X94" s="33"/>
    </row>
    <row r="95" ht="15.75" customHeight="1">
      <c r="A95" s="7"/>
      <c r="N95" s="33"/>
      <c r="O95" s="33"/>
      <c r="P95" s="33"/>
      <c r="Q95" s="33"/>
      <c r="V95" s="33"/>
      <c r="W95" s="33"/>
      <c r="X95" s="33"/>
    </row>
    <row r="96" ht="15.75" customHeight="1">
      <c r="A96" s="7"/>
      <c r="N96" s="33"/>
      <c r="O96" s="33"/>
      <c r="P96" s="33"/>
      <c r="Q96" s="33"/>
      <c r="V96" s="33"/>
      <c r="W96" s="33"/>
      <c r="X96" s="33"/>
    </row>
    <row r="97" ht="15.75" customHeight="1">
      <c r="A97" s="7"/>
      <c r="N97" s="33"/>
      <c r="O97" s="33"/>
      <c r="P97" s="33"/>
      <c r="Q97" s="33"/>
      <c r="V97" s="33"/>
      <c r="W97" s="33"/>
      <c r="X97" s="33"/>
    </row>
    <row r="98" ht="15.75" customHeight="1">
      <c r="A98" s="7"/>
      <c r="N98" s="33"/>
      <c r="O98" s="33"/>
      <c r="P98" s="33"/>
      <c r="Q98" s="33"/>
      <c r="V98" s="33"/>
      <c r="W98" s="33"/>
      <c r="X98" s="33"/>
    </row>
    <row r="99" ht="15.75" customHeight="1">
      <c r="A99" s="7"/>
      <c r="N99" s="33"/>
      <c r="O99" s="33"/>
      <c r="P99" s="33"/>
      <c r="Q99" s="33"/>
      <c r="V99" s="33"/>
      <c r="W99" s="33"/>
      <c r="X99" s="33"/>
    </row>
    <row r="100" ht="15.75" customHeight="1">
      <c r="A100" s="7"/>
      <c r="N100" s="33"/>
      <c r="O100" s="33"/>
      <c r="P100" s="33"/>
      <c r="Q100" s="33"/>
      <c r="V100" s="33"/>
      <c r="W100" s="33"/>
      <c r="X100" s="33"/>
    </row>
    <row r="101" ht="15.75" customHeight="1">
      <c r="A101" s="7"/>
      <c r="N101" s="33"/>
      <c r="O101" s="33"/>
      <c r="P101" s="33"/>
      <c r="Q101" s="33"/>
      <c r="V101" s="33"/>
      <c r="W101" s="33"/>
      <c r="X101" s="33"/>
    </row>
    <row r="102" ht="15.75" customHeight="1">
      <c r="A102" s="7"/>
      <c r="N102" s="33"/>
      <c r="O102" s="33"/>
      <c r="P102" s="33"/>
      <c r="Q102" s="33"/>
      <c r="V102" s="33"/>
      <c r="W102" s="33"/>
      <c r="X102" s="33"/>
    </row>
    <row r="103" ht="15.75" customHeight="1">
      <c r="A103" s="7"/>
      <c r="N103" s="33"/>
      <c r="O103" s="33"/>
      <c r="P103" s="33"/>
      <c r="Q103" s="33"/>
      <c r="V103" s="33"/>
      <c r="W103" s="33"/>
      <c r="X103" s="33"/>
    </row>
    <row r="104" ht="15.75" customHeight="1">
      <c r="A104" s="7"/>
      <c r="N104" s="33"/>
      <c r="O104" s="33"/>
      <c r="P104" s="33"/>
      <c r="Q104" s="33"/>
      <c r="V104" s="33"/>
      <c r="W104" s="33"/>
      <c r="X104" s="33"/>
    </row>
    <row r="105" ht="15.75" customHeight="1">
      <c r="A105" s="7"/>
      <c r="N105" s="33"/>
      <c r="O105" s="33"/>
      <c r="P105" s="33"/>
      <c r="Q105" s="33"/>
      <c r="V105" s="33"/>
      <c r="W105" s="33"/>
      <c r="X105" s="33"/>
    </row>
    <row r="106" ht="15.75" customHeight="1">
      <c r="A106" s="7"/>
      <c r="N106" s="33"/>
      <c r="O106" s="33"/>
      <c r="P106" s="33"/>
      <c r="Q106" s="33"/>
      <c r="V106" s="33"/>
      <c r="W106" s="33"/>
      <c r="X106" s="33"/>
    </row>
    <row r="107" ht="15.75" customHeight="1">
      <c r="A107" s="7"/>
      <c r="N107" s="33"/>
      <c r="O107" s="33"/>
      <c r="P107" s="33"/>
      <c r="Q107" s="33"/>
      <c r="V107" s="33"/>
      <c r="W107" s="33"/>
      <c r="X107" s="33"/>
    </row>
    <row r="108" ht="15.75" customHeight="1">
      <c r="A108" s="7"/>
      <c r="N108" s="33"/>
      <c r="O108" s="33"/>
      <c r="P108" s="33"/>
      <c r="Q108" s="33"/>
      <c r="V108" s="33"/>
      <c r="W108" s="33"/>
      <c r="X108" s="33"/>
    </row>
    <row r="109" ht="15.75" customHeight="1">
      <c r="A109" s="7"/>
      <c r="N109" s="33"/>
      <c r="O109" s="33"/>
      <c r="P109" s="33"/>
      <c r="Q109" s="33"/>
      <c r="V109" s="33"/>
      <c r="W109" s="33"/>
      <c r="X109" s="33"/>
    </row>
    <row r="110" ht="15.75" customHeight="1">
      <c r="A110" s="7"/>
      <c r="N110" s="33"/>
      <c r="O110" s="33"/>
      <c r="P110" s="33"/>
      <c r="Q110" s="33"/>
      <c r="V110" s="33"/>
      <c r="W110" s="33"/>
      <c r="X110" s="33"/>
    </row>
    <row r="111" ht="15.75" customHeight="1">
      <c r="A111" s="7"/>
      <c r="N111" s="33"/>
      <c r="O111" s="33"/>
      <c r="P111" s="33"/>
      <c r="Q111" s="33"/>
      <c r="V111" s="33"/>
      <c r="W111" s="33"/>
      <c r="X111" s="33"/>
    </row>
    <row r="112" ht="15.75" customHeight="1">
      <c r="A112" s="7"/>
      <c r="N112" s="33"/>
      <c r="O112" s="33"/>
      <c r="P112" s="33"/>
      <c r="Q112" s="33"/>
      <c r="V112" s="33"/>
      <c r="W112" s="33"/>
      <c r="X112" s="33"/>
    </row>
    <row r="113" ht="15.75" customHeight="1">
      <c r="A113" s="7"/>
      <c r="N113" s="33"/>
      <c r="O113" s="33"/>
      <c r="P113" s="33"/>
      <c r="Q113" s="33"/>
      <c r="V113" s="33"/>
      <c r="W113" s="33"/>
      <c r="X113" s="33"/>
    </row>
    <row r="114" ht="15.75" customHeight="1">
      <c r="A114" s="7"/>
      <c r="N114" s="33"/>
      <c r="O114" s="33"/>
      <c r="P114" s="33"/>
      <c r="Q114" s="33"/>
      <c r="V114" s="33"/>
      <c r="W114" s="33"/>
      <c r="X114" s="33"/>
    </row>
    <row r="115" ht="15.75" customHeight="1">
      <c r="A115" s="7"/>
      <c r="N115" s="33"/>
      <c r="O115" s="33"/>
      <c r="P115" s="33"/>
      <c r="Q115" s="33"/>
      <c r="V115" s="33"/>
      <c r="W115" s="33"/>
      <c r="X115" s="33"/>
    </row>
    <row r="116" ht="15.75" customHeight="1">
      <c r="A116" s="7"/>
      <c r="N116" s="33"/>
      <c r="O116" s="33"/>
      <c r="P116" s="33"/>
      <c r="Q116" s="33"/>
      <c r="V116" s="33"/>
      <c r="W116" s="33"/>
      <c r="X116" s="33"/>
    </row>
    <row r="117" ht="15.75" customHeight="1">
      <c r="A117" s="7"/>
      <c r="N117" s="33"/>
      <c r="O117" s="33"/>
      <c r="P117" s="33"/>
      <c r="Q117" s="33"/>
      <c r="V117" s="33"/>
      <c r="W117" s="33"/>
      <c r="X117" s="33"/>
    </row>
    <row r="118" ht="15.75" customHeight="1">
      <c r="A118" s="7"/>
      <c r="N118" s="33"/>
      <c r="O118" s="33"/>
      <c r="P118" s="33"/>
      <c r="Q118" s="33"/>
      <c r="V118" s="33"/>
      <c r="W118" s="33"/>
      <c r="X118" s="33"/>
    </row>
    <row r="119" ht="15.75" customHeight="1">
      <c r="A119" s="7"/>
      <c r="N119" s="33"/>
      <c r="O119" s="33"/>
      <c r="P119" s="33"/>
      <c r="Q119" s="33"/>
      <c r="V119" s="33"/>
      <c r="W119" s="33"/>
      <c r="X119" s="33"/>
    </row>
    <row r="120" ht="15.75" customHeight="1">
      <c r="A120" s="7"/>
      <c r="N120" s="33"/>
      <c r="O120" s="33"/>
      <c r="P120" s="33"/>
      <c r="Q120" s="33"/>
      <c r="V120" s="33"/>
      <c r="W120" s="33"/>
      <c r="X120" s="33"/>
    </row>
    <row r="121" ht="15.75" customHeight="1">
      <c r="A121" s="7"/>
      <c r="N121" s="33"/>
      <c r="O121" s="33"/>
      <c r="P121" s="33"/>
      <c r="Q121" s="33"/>
      <c r="V121" s="33"/>
      <c r="W121" s="33"/>
      <c r="X121" s="33"/>
    </row>
    <row r="122" ht="15.75" customHeight="1">
      <c r="A122" s="7"/>
      <c r="N122" s="33"/>
      <c r="O122" s="33"/>
      <c r="P122" s="33"/>
      <c r="Q122" s="33"/>
      <c r="V122" s="33"/>
      <c r="W122" s="33"/>
      <c r="X122" s="33"/>
    </row>
    <row r="123" ht="15.75" customHeight="1">
      <c r="A123" s="7"/>
      <c r="N123" s="33"/>
      <c r="O123" s="33"/>
      <c r="P123" s="33"/>
      <c r="Q123" s="33"/>
      <c r="V123" s="33"/>
      <c r="W123" s="33"/>
      <c r="X123" s="33"/>
    </row>
    <row r="124" ht="15.75" customHeight="1">
      <c r="A124" s="7"/>
      <c r="N124" s="33"/>
      <c r="O124" s="33"/>
      <c r="P124" s="33"/>
      <c r="Q124" s="33"/>
      <c r="V124" s="33"/>
      <c r="W124" s="33"/>
      <c r="X124" s="33"/>
    </row>
    <row r="125" ht="15.75" customHeight="1">
      <c r="A125" s="7"/>
      <c r="N125" s="33"/>
      <c r="O125" s="33"/>
      <c r="P125" s="33"/>
      <c r="Q125" s="33"/>
      <c r="V125" s="33"/>
      <c r="W125" s="33"/>
      <c r="X125" s="33"/>
    </row>
    <row r="126" ht="15.75" customHeight="1">
      <c r="A126" s="7"/>
      <c r="N126" s="33"/>
      <c r="O126" s="33"/>
      <c r="P126" s="33"/>
      <c r="Q126" s="33"/>
      <c r="V126" s="33"/>
      <c r="W126" s="33"/>
      <c r="X126" s="33"/>
    </row>
    <row r="127" ht="15.75" customHeight="1">
      <c r="A127" s="7"/>
      <c r="N127" s="33"/>
      <c r="O127" s="33"/>
      <c r="P127" s="33"/>
      <c r="Q127" s="33"/>
      <c r="V127" s="33"/>
      <c r="W127" s="33"/>
      <c r="X127" s="33"/>
    </row>
    <row r="128" ht="15.75" customHeight="1">
      <c r="A128" s="7"/>
      <c r="N128" s="33"/>
      <c r="O128" s="33"/>
      <c r="P128" s="33"/>
      <c r="Q128" s="33"/>
      <c r="V128" s="33"/>
      <c r="W128" s="33"/>
      <c r="X128" s="33"/>
    </row>
    <row r="129" ht="15.75" customHeight="1">
      <c r="A129" s="7"/>
      <c r="N129" s="33"/>
      <c r="O129" s="33"/>
      <c r="P129" s="33"/>
      <c r="Q129" s="33"/>
      <c r="V129" s="33"/>
      <c r="W129" s="33"/>
      <c r="X129" s="33"/>
    </row>
    <row r="130" ht="15.75" customHeight="1">
      <c r="A130" s="7"/>
      <c r="N130" s="33"/>
      <c r="O130" s="33"/>
      <c r="P130" s="33"/>
      <c r="Q130" s="33"/>
      <c r="V130" s="33"/>
      <c r="W130" s="33"/>
      <c r="X130" s="33"/>
    </row>
    <row r="131" ht="15.75" customHeight="1">
      <c r="A131" s="7"/>
      <c r="N131" s="33"/>
      <c r="O131" s="33"/>
      <c r="P131" s="33"/>
      <c r="Q131" s="33"/>
      <c r="V131" s="33"/>
      <c r="W131" s="33"/>
      <c r="X131" s="33"/>
    </row>
    <row r="132" ht="15.75" customHeight="1">
      <c r="A132" s="7"/>
      <c r="N132" s="33"/>
      <c r="O132" s="33"/>
      <c r="P132" s="33"/>
      <c r="Q132" s="33"/>
      <c r="V132" s="33"/>
      <c r="W132" s="33"/>
      <c r="X132" s="33"/>
    </row>
    <row r="133" ht="15.75" customHeight="1">
      <c r="A133" s="7"/>
      <c r="N133" s="33"/>
      <c r="O133" s="33"/>
      <c r="P133" s="33"/>
      <c r="Q133" s="33"/>
      <c r="V133" s="33"/>
      <c r="W133" s="33"/>
      <c r="X133" s="33"/>
    </row>
    <row r="134" ht="15.75" customHeight="1">
      <c r="A134" s="7"/>
      <c r="N134" s="33"/>
      <c r="O134" s="33"/>
      <c r="P134" s="33"/>
      <c r="Q134" s="33"/>
      <c r="V134" s="33"/>
      <c r="W134" s="33"/>
      <c r="X134" s="33"/>
    </row>
    <row r="135" ht="15.75" customHeight="1">
      <c r="A135" s="7"/>
      <c r="N135" s="33"/>
      <c r="O135" s="33"/>
      <c r="P135" s="33"/>
      <c r="Q135" s="33"/>
      <c r="V135" s="33"/>
      <c r="W135" s="33"/>
      <c r="X135" s="33"/>
    </row>
    <row r="136" ht="15.75" customHeight="1">
      <c r="A136" s="7"/>
      <c r="N136" s="33"/>
      <c r="O136" s="33"/>
      <c r="P136" s="33"/>
      <c r="Q136" s="33"/>
      <c r="V136" s="33"/>
      <c r="W136" s="33"/>
      <c r="X136" s="33"/>
    </row>
    <row r="137" ht="15.75" customHeight="1">
      <c r="A137" s="7"/>
      <c r="N137" s="33"/>
      <c r="O137" s="33"/>
      <c r="P137" s="33"/>
      <c r="Q137" s="33"/>
      <c r="V137" s="33"/>
      <c r="W137" s="33"/>
      <c r="X137" s="33"/>
    </row>
    <row r="138" ht="15.75" customHeight="1">
      <c r="A138" s="7"/>
      <c r="N138" s="33"/>
      <c r="O138" s="33"/>
      <c r="P138" s="33"/>
      <c r="Q138" s="33"/>
      <c r="V138" s="33"/>
      <c r="W138" s="33"/>
      <c r="X138" s="33"/>
    </row>
    <row r="139" ht="15.75" customHeight="1">
      <c r="A139" s="7"/>
      <c r="N139" s="33"/>
      <c r="O139" s="33"/>
      <c r="P139" s="33"/>
      <c r="Q139" s="33"/>
      <c r="V139" s="33"/>
      <c r="W139" s="33"/>
      <c r="X139" s="33"/>
    </row>
    <row r="140" ht="15.75" customHeight="1">
      <c r="A140" s="7"/>
      <c r="N140" s="33"/>
      <c r="O140" s="33"/>
      <c r="P140" s="33"/>
      <c r="Q140" s="33"/>
      <c r="V140" s="33"/>
      <c r="W140" s="33"/>
      <c r="X140" s="33"/>
    </row>
    <row r="141" ht="15.75" customHeight="1">
      <c r="A141" s="7"/>
      <c r="N141" s="33"/>
      <c r="O141" s="33"/>
      <c r="P141" s="33"/>
      <c r="Q141" s="33"/>
      <c r="V141" s="33"/>
      <c r="W141" s="33"/>
      <c r="X141" s="33"/>
    </row>
    <row r="142" ht="15.75" customHeight="1">
      <c r="A142" s="7"/>
      <c r="N142" s="33"/>
      <c r="O142" s="33"/>
      <c r="P142" s="33"/>
      <c r="Q142" s="33"/>
      <c r="V142" s="33"/>
      <c r="W142" s="33"/>
      <c r="X142" s="33"/>
    </row>
    <row r="143" ht="15.75" customHeight="1">
      <c r="A143" s="7"/>
      <c r="N143" s="33"/>
      <c r="O143" s="33"/>
      <c r="P143" s="33"/>
      <c r="Q143" s="33"/>
      <c r="V143" s="33"/>
      <c r="W143" s="33"/>
      <c r="X143" s="33"/>
    </row>
    <row r="144" ht="15.75" customHeight="1">
      <c r="A144" s="7"/>
      <c r="N144" s="33"/>
      <c r="O144" s="33"/>
      <c r="P144" s="33"/>
      <c r="Q144" s="33"/>
      <c r="V144" s="33"/>
      <c r="W144" s="33"/>
      <c r="X144" s="33"/>
    </row>
    <row r="145" ht="15.75" customHeight="1">
      <c r="A145" s="7"/>
      <c r="N145" s="33"/>
      <c r="O145" s="33"/>
      <c r="P145" s="33"/>
      <c r="Q145" s="33"/>
      <c r="V145" s="33"/>
      <c r="W145" s="33"/>
      <c r="X145" s="33"/>
    </row>
    <row r="146" ht="15.75" customHeight="1">
      <c r="A146" s="7"/>
      <c r="N146" s="33"/>
      <c r="O146" s="33"/>
      <c r="P146" s="33"/>
      <c r="Q146" s="33"/>
      <c r="V146" s="33"/>
      <c r="W146" s="33"/>
      <c r="X146" s="33"/>
    </row>
    <row r="147" ht="15.75" customHeight="1">
      <c r="A147" s="7"/>
      <c r="N147" s="33"/>
      <c r="O147" s="33"/>
      <c r="P147" s="33"/>
      <c r="Q147" s="33"/>
      <c r="V147" s="33"/>
      <c r="W147" s="33"/>
      <c r="X147" s="33"/>
    </row>
    <row r="148" ht="15.75" customHeight="1">
      <c r="A148" s="7"/>
      <c r="N148" s="33"/>
      <c r="O148" s="33"/>
      <c r="P148" s="33"/>
      <c r="Q148" s="33"/>
      <c r="V148" s="33"/>
      <c r="W148" s="33"/>
      <c r="X148" s="33"/>
    </row>
    <row r="149" ht="15.75" customHeight="1">
      <c r="A149" s="7"/>
      <c r="N149" s="33"/>
      <c r="O149" s="33"/>
      <c r="P149" s="33"/>
      <c r="Q149" s="33"/>
      <c r="V149" s="33"/>
      <c r="W149" s="33"/>
      <c r="X149" s="33"/>
    </row>
    <row r="150" ht="15.75" customHeight="1">
      <c r="A150" s="7"/>
      <c r="N150" s="33"/>
      <c r="O150" s="33"/>
      <c r="P150" s="33"/>
      <c r="Q150" s="33"/>
      <c r="V150" s="33"/>
      <c r="W150" s="33"/>
      <c r="X150" s="33"/>
    </row>
    <row r="151" ht="15.75" customHeight="1">
      <c r="A151" s="7"/>
      <c r="N151" s="33"/>
      <c r="O151" s="33"/>
      <c r="P151" s="33"/>
      <c r="Q151" s="33"/>
      <c r="V151" s="33"/>
      <c r="W151" s="33"/>
      <c r="X151" s="33"/>
    </row>
    <row r="152" ht="15.75" customHeight="1">
      <c r="A152" s="7"/>
      <c r="N152" s="33"/>
      <c r="O152" s="33"/>
      <c r="P152" s="33"/>
      <c r="Q152" s="33"/>
      <c r="V152" s="33"/>
      <c r="W152" s="33"/>
      <c r="X152" s="33"/>
    </row>
    <row r="153" ht="15.75" customHeight="1">
      <c r="A153" s="7"/>
      <c r="N153" s="33"/>
      <c r="O153" s="33"/>
      <c r="P153" s="33"/>
      <c r="Q153" s="33"/>
      <c r="V153" s="33"/>
      <c r="W153" s="33"/>
      <c r="X153" s="33"/>
    </row>
    <row r="154" ht="15.75" customHeight="1">
      <c r="A154" s="7"/>
      <c r="N154" s="33"/>
      <c r="O154" s="33"/>
      <c r="P154" s="33"/>
      <c r="Q154" s="33"/>
      <c r="V154" s="33"/>
      <c r="W154" s="33"/>
      <c r="X154" s="33"/>
    </row>
    <row r="155" ht="15.75" customHeight="1">
      <c r="A155" s="7"/>
      <c r="N155" s="33"/>
      <c r="O155" s="33"/>
      <c r="P155" s="33"/>
      <c r="Q155" s="33"/>
      <c r="V155" s="33"/>
      <c r="W155" s="33"/>
      <c r="X155" s="33"/>
    </row>
    <row r="156" ht="15.75" customHeight="1">
      <c r="A156" s="7"/>
      <c r="N156" s="33"/>
      <c r="O156" s="33"/>
      <c r="P156" s="33"/>
      <c r="Q156" s="33"/>
      <c r="V156" s="33"/>
      <c r="W156" s="33"/>
      <c r="X156" s="33"/>
    </row>
    <row r="157" ht="15.75" customHeight="1">
      <c r="A157" s="7"/>
      <c r="N157" s="33"/>
      <c r="O157" s="33"/>
      <c r="P157" s="33"/>
      <c r="Q157" s="33"/>
      <c r="V157" s="33"/>
      <c r="W157" s="33"/>
      <c r="X157" s="33"/>
    </row>
    <row r="158" ht="15.75" customHeight="1">
      <c r="A158" s="7"/>
      <c r="N158" s="33"/>
      <c r="O158" s="33"/>
      <c r="P158" s="33"/>
      <c r="Q158" s="33"/>
      <c r="V158" s="33"/>
      <c r="W158" s="33"/>
      <c r="X158" s="33"/>
    </row>
    <row r="159" ht="15.75" customHeight="1">
      <c r="A159" s="7"/>
      <c r="N159" s="33"/>
      <c r="O159" s="33"/>
      <c r="P159" s="33"/>
      <c r="Q159" s="33"/>
      <c r="V159" s="33"/>
      <c r="W159" s="33"/>
      <c r="X159" s="33"/>
    </row>
    <row r="160" ht="15.75" customHeight="1">
      <c r="A160" s="7"/>
      <c r="N160" s="33"/>
      <c r="O160" s="33"/>
      <c r="P160" s="33"/>
      <c r="Q160" s="33"/>
      <c r="V160" s="33"/>
      <c r="W160" s="33"/>
      <c r="X160" s="33"/>
    </row>
    <row r="161" ht="15.75" customHeight="1">
      <c r="A161" s="7"/>
      <c r="N161" s="33"/>
      <c r="O161" s="33"/>
      <c r="P161" s="33"/>
      <c r="Q161" s="33"/>
      <c r="V161" s="33"/>
      <c r="W161" s="33"/>
      <c r="X161" s="33"/>
    </row>
    <row r="162" ht="15.75" customHeight="1">
      <c r="A162" s="7"/>
      <c r="N162" s="33"/>
      <c r="O162" s="33"/>
      <c r="P162" s="33"/>
      <c r="Q162" s="33"/>
      <c r="V162" s="33"/>
      <c r="W162" s="33"/>
      <c r="X162" s="33"/>
    </row>
    <row r="163" ht="15.75" customHeight="1">
      <c r="A163" s="7"/>
      <c r="N163" s="33"/>
      <c r="O163" s="33"/>
      <c r="P163" s="33"/>
      <c r="Q163" s="33"/>
      <c r="V163" s="33"/>
      <c r="W163" s="33"/>
      <c r="X163" s="33"/>
    </row>
    <row r="164" ht="15.75" customHeight="1">
      <c r="A164" s="7"/>
      <c r="N164" s="33"/>
      <c r="O164" s="33"/>
      <c r="P164" s="33"/>
      <c r="Q164" s="33"/>
      <c r="V164" s="33"/>
      <c r="W164" s="33"/>
      <c r="X164" s="33"/>
    </row>
    <row r="165" ht="15.75" customHeight="1">
      <c r="A165" s="7"/>
      <c r="N165" s="33"/>
      <c r="O165" s="33"/>
      <c r="P165" s="33"/>
      <c r="Q165" s="33"/>
      <c r="V165" s="33"/>
      <c r="W165" s="33"/>
      <c r="X165" s="33"/>
    </row>
    <row r="166" ht="15.75" customHeight="1">
      <c r="A166" s="7"/>
      <c r="N166" s="33"/>
      <c r="O166" s="33"/>
      <c r="P166" s="33"/>
      <c r="Q166" s="33"/>
      <c r="V166" s="33"/>
      <c r="W166" s="33"/>
      <c r="X166" s="33"/>
    </row>
    <row r="167" ht="15.75" customHeight="1">
      <c r="A167" s="7"/>
      <c r="N167" s="33"/>
      <c r="O167" s="33"/>
      <c r="P167" s="33"/>
      <c r="Q167" s="33"/>
      <c r="V167" s="33"/>
      <c r="W167" s="33"/>
      <c r="X167" s="33"/>
    </row>
    <row r="168" ht="15.75" customHeight="1">
      <c r="A168" s="7"/>
      <c r="N168" s="33"/>
      <c r="O168" s="33"/>
      <c r="P168" s="33"/>
      <c r="Q168" s="33"/>
      <c r="V168" s="33"/>
      <c r="W168" s="33"/>
      <c r="X168" s="33"/>
    </row>
    <row r="169" ht="15.75" customHeight="1">
      <c r="A169" s="7"/>
      <c r="N169" s="33"/>
      <c r="O169" s="33"/>
      <c r="P169" s="33"/>
      <c r="Q169" s="33"/>
      <c r="V169" s="33"/>
      <c r="W169" s="33"/>
      <c r="X169" s="33"/>
    </row>
    <row r="170" ht="15.75" customHeight="1">
      <c r="A170" s="7"/>
      <c r="N170" s="33"/>
      <c r="O170" s="33"/>
      <c r="P170" s="33"/>
      <c r="Q170" s="33"/>
      <c r="V170" s="33"/>
      <c r="W170" s="33"/>
      <c r="X170" s="33"/>
    </row>
    <row r="171" ht="15.75" customHeight="1">
      <c r="A171" s="7"/>
      <c r="N171" s="33"/>
      <c r="O171" s="33"/>
      <c r="P171" s="33"/>
      <c r="Q171" s="33"/>
      <c r="V171" s="33"/>
      <c r="W171" s="33"/>
      <c r="X171" s="33"/>
    </row>
    <row r="172" ht="15.75" customHeight="1">
      <c r="A172" s="7"/>
      <c r="N172" s="33"/>
      <c r="O172" s="33"/>
      <c r="P172" s="33"/>
      <c r="Q172" s="33"/>
      <c r="V172" s="33"/>
      <c r="W172" s="33"/>
      <c r="X172" s="33"/>
    </row>
    <row r="173" ht="15.75" customHeight="1">
      <c r="A173" s="7"/>
      <c r="N173" s="33"/>
      <c r="O173" s="33"/>
      <c r="P173" s="33"/>
      <c r="Q173" s="33"/>
      <c r="V173" s="33"/>
      <c r="W173" s="33"/>
      <c r="X173" s="33"/>
    </row>
    <row r="174" ht="15.75" customHeight="1">
      <c r="A174" s="7"/>
      <c r="N174" s="33"/>
      <c r="O174" s="33"/>
      <c r="P174" s="33"/>
      <c r="Q174" s="33"/>
      <c r="V174" s="33"/>
      <c r="W174" s="33"/>
      <c r="X174" s="33"/>
    </row>
    <row r="175" ht="15.75" customHeight="1">
      <c r="A175" s="7"/>
      <c r="N175" s="33"/>
      <c r="O175" s="33"/>
      <c r="P175" s="33"/>
      <c r="Q175" s="33"/>
      <c r="V175" s="33"/>
      <c r="W175" s="33"/>
      <c r="X175" s="33"/>
    </row>
    <row r="176" ht="15.75" customHeight="1">
      <c r="A176" s="7"/>
      <c r="N176" s="33"/>
      <c r="O176" s="33"/>
      <c r="P176" s="33"/>
      <c r="Q176" s="33"/>
      <c r="V176" s="33"/>
      <c r="W176" s="33"/>
      <c r="X176" s="33"/>
    </row>
    <row r="177" ht="15.75" customHeight="1">
      <c r="A177" s="7"/>
      <c r="N177" s="33"/>
      <c r="O177" s="33"/>
      <c r="P177" s="33"/>
      <c r="Q177" s="33"/>
      <c r="V177" s="33"/>
      <c r="W177" s="33"/>
      <c r="X177" s="33"/>
    </row>
    <row r="178" ht="15.75" customHeight="1">
      <c r="A178" s="7"/>
      <c r="N178" s="33"/>
      <c r="O178" s="33"/>
      <c r="P178" s="33"/>
      <c r="Q178" s="33"/>
      <c r="V178" s="33"/>
      <c r="W178" s="33"/>
      <c r="X178" s="33"/>
    </row>
    <row r="179" ht="15.75" customHeight="1">
      <c r="A179" s="7"/>
      <c r="N179" s="33"/>
      <c r="O179" s="33"/>
      <c r="P179" s="33"/>
      <c r="Q179" s="33"/>
      <c r="V179" s="33"/>
      <c r="W179" s="33"/>
      <c r="X179" s="33"/>
    </row>
    <row r="180" ht="15.75" customHeight="1">
      <c r="A180" s="7"/>
      <c r="N180" s="33"/>
      <c r="O180" s="33"/>
      <c r="P180" s="33"/>
      <c r="Q180" s="33"/>
      <c r="V180" s="33"/>
      <c r="W180" s="33"/>
      <c r="X180" s="33"/>
    </row>
    <row r="181" ht="15.75" customHeight="1">
      <c r="A181" s="7"/>
      <c r="N181" s="33"/>
      <c r="O181" s="33"/>
      <c r="P181" s="33"/>
      <c r="Q181" s="33"/>
      <c r="V181" s="33"/>
      <c r="W181" s="33"/>
      <c r="X181" s="33"/>
    </row>
    <row r="182" ht="15.75" customHeight="1">
      <c r="A182" s="7"/>
      <c r="N182" s="33"/>
      <c r="O182" s="33"/>
      <c r="P182" s="33"/>
      <c r="Q182" s="33"/>
      <c r="V182" s="33"/>
      <c r="W182" s="33"/>
      <c r="X182" s="33"/>
    </row>
    <row r="183" ht="15.75" customHeight="1">
      <c r="A183" s="7"/>
      <c r="N183" s="33"/>
      <c r="O183" s="33"/>
      <c r="P183" s="33"/>
      <c r="Q183" s="33"/>
      <c r="V183" s="33"/>
      <c r="W183" s="33"/>
      <c r="X183" s="33"/>
    </row>
    <row r="184" ht="15.75" customHeight="1">
      <c r="A184" s="7"/>
      <c r="N184" s="33"/>
      <c r="O184" s="33"/>
      <c r="P184" s="33"/>
      <c r="Q184" s="33"/>
      <c r="V184" s="33"/>
      <c r="W184" s="33"/>
      <c r="X184" s="33"/>
    </row>
    <row r="185" ht="15.75" customHeight="1">
      <c r="A185" s="7"/>
      <c r="N185" s="33"/>
      <c r="O185" s="33"/>
      <c r="P185" s="33"/>
      <c r="Q185" s="33"/>
      <c r="V185" s="33"/>
      <c r="W185" s="33"/>
      <c r="X185" s="33"/>
    </row>
    <row r="186" ht="15.75" customHeight="1">
      <c r="A186" s="7"/>
      <c r="N186" s="33"/>
      <c r="O186" s="33"/>
      <c r="P186" s="33"/>
      <c r="Q186" s="33"/>
      <c r="V186" s="33"/>
      <c r="W186" s="33"/>
      <c r="X186" s="33"/>
    </row>
    <row r="187" ht="15.75" customHeight="1">
      <c r="A187" s="7"/>
      <c r="N187" s="33"/>
      <c r="O187" s="33"/>
      <c r="P187" s="33"/>
      <c r="Q187" s="33"/>
      <c r="V187" s="33"/>
      <c r="W187" s="33"/>
      <c r="X187" s="33"/>
    </row>
    <row r="188" ht="15.75" customHeight="1">
      <c r="A188" s="7"/>
      <c r="N188" s="33"/>
      <c r="O188" s="33"/>
      <c r="P188" s="33"/>
      <c r="Q188" s="33"/>
      <c r="V188" s="33"/>
      <c r="W188" s="33"/>
      <c r="X188" s="33"/>
    </row>
    <row r="189" ht="15.75" customHeight="1">
      <c r="A189" s="7"/>
      <c r="N189" s="33"/>
      <c r="O189" s="33"/>
      <c r="P189" s="33"/>
      <c r="Q189" s="33"/>
      <c r="V189" s="33"/>
      <c r="W189" s="33"/>
      <c r="X189" s="33"/>
    </row>
    <row r="190" ht="15.75" customHeight="1">
      <c r="A190" s="7"/>
      <c r="N190" s="33"/>
      <c r="O190" s="33"/>
      <c r="P190" s="33"/>
      <c r="Q190" s="33"/>
      <c r="V190" s="33"/>
      <c r="W190" s="33"/>
      <c r="X190" s="33"/>
    </row>
    <row r="191" ht="15.75" customHeight="1">
      <c r="A191" s="7"/>
      <c r="N191" s="33"/>
      <c r="O191" s="33"/>
      <c r="P191" s="33"/>
      <c r="Q191" s="33"/>
      <c r="V191" s="33"/>
      <c r="W191" s="33"/>
      <c r="X191" s="33"/>
    </row>
    <row r="192" ht="15.75" customHeight="1">
      <c r="A192" s="7"/>
      <c r="N192" s="33"/>
      <c r="O192" s="33"/>
      <c r="P192" s="33"/>
      <c r="Q192" s="33"/>
      <c r="V192" s="33"/>
      <c r="W192" s="33"/>
      <c r="X192" s="33"/>
    </row>
    <row r="193" ht="15.75" customHeight="1">
      <c r="A193" s="7"/>
      <c r="N193" s="33"/>
      <c r="O193" s="33"/>
      <c r="P193" s="33"/>
      <c r="Q193" s="33"/>
      <c r="V193" s="33"/>
      <c r="W193" s="33"/>
      <c r="X193" s="33"/>
    </row>
    <row r="194" ht="15.75" customHeight="1">
      <c r="A194" s="7"/>
      <c r="N194" s="33"/>
      <c r="O194" s="33"/>
      <c r="P194" s="33"/>
      <c r="Q194" s="33"/>
      <c r="V194" s="33"/>
      <c r="W194" s="33"/>
      <c r="X194" s="33"/>
    </row>
    <row r="195" ht="15.75" customHeight="1">
      <c r="A195" s="7"/>
      <c r="N195" s="33"/>
      <c r="O195" s="33"/>
      <c r="P195" s="33"/>
      <c r="Q195" s="33"/>
      <c r="V195" s="33"/>
      <c r="W195" s="33"/>
      <c r="X195" s="33"/>
    </row>
    <row r="196" ht="15.75" customHeight="1">
      <c r="A196" s="7"/>
      <c r="N196" s="33"/>
      <c r="O196" s="33"/>
      <c r="P196" s="33"/>
      <c r="Q196" s="33"/>
      <c r="V196" s="33"/>
      <c r="W196" s="33"/>
      <c r="X196" s="33"/>
    </row>
    <row r="197" ht="15.75" customHeight="1">
      <c r="A197" s="7"/>
      <c r="N197" s="33"/>
      <c r="O197" s="33"/>
      <c r="P197" s="33"/>
      <c r="Q197" s="33"/>
      <c r="V197" s="33"/>
      <c r="W197" s="33"/>
      <c r="X197" s="33"/>
    </row>
    <row r="198" ht="15.75" customHeight="1">
      <c r="A198" s="7"/>
      <c r="N198" s="33"/>
      <c r="O198" s="33"/>
      <c r="P198" s="33"/>
      <c r="Q198" s="33"/>
      <c r="V198" s="33"/>
      <c r="W198" s="33"/>
      <c r="X198" s="33"/>
    </row>
    <row r="199" ht="15.75" customHeight="1">
      <c r="A199" s="7"/>
      <c r="N199" s="33"/>
      <c r="O199" s="33"/>
      <c r="P199" s="33"/>
      <c r="Q199" s="33"/>
      <c r="V199" s="33"/>
      <c r="W199" s="33"/>
      <c r="X199" s="33"/>
    </row>
    <row r="200" ht="15.75" customHeight="1">
      <c r="A200" s="7"/>
      <c r="N200" s="33"/>
      <c r="O200" s="33"/>
      <c r="P200" s="33"/>
      <c r="Q200" s="33"/>
      <c r="V200" s="33"/>
      <c r="W200" s="33"/>
      <c r="X200" s="33"/>
    </row>
    <row r="201" ht="15.75" customHeight="1">
      <c r="A201" s="7"/>
      <c r="N201" s="33"/>
      <c r="O201" s="33"/>
      <c r="P201" s="33"/>
      <c r="Q201" s="33"/>
      <c r="V201" s="33"/>
      <c r="W201" s="33"/>
      <c r="X201" s="33"/>
    </row>
    <row r="202" ht="15.75" customHeight="1">
      <c r="A202" s="7"/>
      <c r="N202" s="33"/>
      <c r="O202" s="33"/>
      <c r="P202" s="33"/>
      <c r="Q202" s="33"/>
      <c r="V202" s="33"/>
      <c r="W202" s="33"/>
      <c r="X202" s="33"/>
    </row>
    <row r="203" ht="15.75" customHeight="1">
      <c r="A203" s="7"/>
      <c r="N203" s="33"/>
      <c r="O203" s="33"/>
      <c r="P203" s="33"/>
      <c r="Q203" s="33"/>
      <c r="V203" s="33"/>
      <c r="W203" s="33"/>
      <c r="X203" s="33"/>
    </row>
    <row r="204" ht="15.75" customHeight="1">
      <c r="A204" s="7"/>
      <c r="N204" s="33"/>
      <c r="O204" s="33"/>
      <c r="P204" s="33"/>
      <c r="Q204" s="33"/>
      <c r="V204" s="33"/>
      <c r="W204" s="33"/>
      <c r="X204" s="33"/>
    </row>
    <row r="205" ht="15.75" customHeight="1">
      <c r="A205" s="7"/>
      <c r="N205" s="33"/>
      <c r="O205" s="33"/>
      <c r="P205" s="33"/>
      <c r="Q205" s="33"/>
      <c r="V205" s="33"/>
      <c r="W205" s="33"/>
      <c r="X205" s="33"/>
    </row>
    <row r="206" ht="15.75" customHeight="1">
      <c r="A206" s="7"/>
      <c r="N206" s="33"/>
      <c r="O206" s="33"/>
      <c r="P206" s="33"/>
      <c r="Q206" s="33"/>
      <c r="V206" s="33"/>
      <c r="W206" s="33"/>
      <c r="X206" s="33"/>
    </row>
    <row r="207" ht="15.75" customHeight="1">
      <c r="A207" s="7"/>
      <c r="N207" s="33"/>
      <c r="O207" s="33"/>
      <c r="P207" s="33"/>
      <c r="Q207" s="33"/>
      <c r="V207" s="33"/>
      <c r="W207" s="33"/>
      <c r="X207" s="33"/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autoFilter ref="$A$1:$Y$7"/>
  <dataValidations>
    <dataValidation type="list" allowBlank="1" sqref="B2:B7">
      <formula1>"1,5,2,3,4"</formula1>
    </dataValidation>
  </dataValidations>
  <hyperlinks>
    <hyperlink r:id="rId1" ref="Q2"/>
    <hyperlink r:id="rId2" ref="R2"/>
    <hyperlink r:id="rId3" ref="Q3"/>
    <hyperlink r:id="rId4" ref="R3"/>
    <hyperlink r:id="rId5" ref="Q4"/>
    <hyperlink r:id="rId6" ref="R4"/>
    <hyperlink r:id="rId7" ref="Q5"/>
    <hyperlink r:id="rId8" ref="R5"/>
    <hyperlink r:id="rId9" ref="Q6"/>
    <hyperlink r:id="rId10" ref="R6"/>
    <hyperlink r:id="rId11" ref="Q7"/>
    <hyperlink r:id="rId12" ref="R7"/>
  </hyperlinks>
  <printOptions/>
  <pageMargins bottom="0.75" footer="0.0" header="0.0" left="0.7" right="0.7" top="0.75"/>
  <pageSetup paperSize="14" scale="75" orientation="portrait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63"/>
  </cols>
  <sheetData>
    <row r="2">
      <c r="A2" s="34" t="s">
        <v>68</v>
      </c>
    </row>
    <row r="3">
      <c r="A3" s="34" t="s">
        <v>69</v>
      </c>
      <c r="B3" s="34" t="s">
        <v>70</v>
      </c>
      <c r="C3" s="34" t="s">
        <v>71</v>
      </c>
      <c r="D3" s="34" t="s">
        <v>17</v>
      </c>
    </row>
    <row r="4">
      <c r="A4" s="34">
        <v>1.0</v>
      </c>
      <c r="B4" s="11" t="s">
        <v>40</v>
      </c>
      <c r="C4" s="34" t="s">
        <v>42</v>
      </c>
      <c r="D4" s="34">
        <v>99363.0</v>
      </c>
    </row>
    <row r="5">
      <c r="A5" s="34">
        <v>2.0</v>
      </c>
      <c r="B5" s="34" t="s">
        <v>47</v>
      </c>
      <c r="C5" s="34" t="s">
        <v>49</v>
      </c>
      <c r="D5" s="34">
        <v>16865.0</v>
      </c>
    </row>
    <row r="6">
      <c r="A6" s="34">
        <v>3.0</v>
      </c>
      <c r="B6" s="34" t="s">
        <v>24</v>
      </c>
      <c r="C6" s="34" t="s">
        <v>27</v>
      </c>
      <c r="D6" s="34">
        <v>73829.0</v>
      </c>
    </row>
    <row r="7">
      <c r="A7" s="34">
        <v>4.0</v>
      </c>
      <c r="B7" s="34" t="s">
        <v>61</v>
      </c>
      <c r="C7" s="34" t="s">
        <v>63</v>
      </c>
      <c r="D7" s="34">
        <v>66331.0</v>
      </c>
    </row>
    <row r="8">
      <c r="A8" s="34">
        <v>5.0</v>
      </c>
      <c r="B8" s="34" t="s">
        <v>54</v>
      </c>
      <c r="C8" s="34" t="s">
        <v>56</v>
      </c>
      <c r="D8" s="34">
        <v>62183.0</v>
      </c>
    </row>
    <row r="9">
      <c r="A9" s="34">
        <v>6.0</v>
      </c>
      <c r="B9" s="34" t="s">
        <v>33</v>
      </c>
      <c r="C9" s="34" t="s">
        <v>35</v>
      </c>
      <c r="D9" s="34">
        <v>56771.0</v>
      </c>
    </row>
    <row r="10">
      <c r="A10" s="34">
        <v>7.0</v>
      </c>
      <c r="B10" s="34" t="s">
        <v>72</v>
      </c>
      <c r="C10" s="34" t="s">
        <v>73</v>
      </c>
      <c r="D10" s="34">
        <v>89472.0</v>
      </c>
    </row>
    <row r="11">
      <c r="A11" s="34">
        <v>8.0</v>
      </c>
      <c r="B11" s="34" t="s">
        <v>74</v>
      </c>
      <c r="C11" s="34" t="s">
        <v>75</v>
      </c>
      <c r="D11" s="34">
        <v>32718.0</v>
      </c>
    </row>
    <row r="12">
      <c r="A12" s="34"/>
      <c r="B12" s="34"/>
      <c r="C12" s="34"/>
      <c r="D12" s="34"/>
    </row>
    <row r="13">
      <c r="A13" s="34"/>
      <c r="B13" s="34"/>
      <c r="C13" s="34"/>
      <c r="D13" s="34"/>
    </row>
    <row r="14">
      <c r="A14" s="34"/>
      <c r="B14" s="34"/>
      <c r="C14" s="34"/>
      <c r="D14" s="34"/>
    </row>
    <row r="15">
      <c r="A15" s="34"/>
      <c r="B15" s="34"/>
      <c r="C15" s="34"/>
      <c r="D15" s="34"/>
    </row>
    <row r="16">
      <c r="A16" s="34"/>
      <c r="B16" s="34"/>
      <c r="C16" s="34"/>
      <c r="D16" s="34"/>
    </row>
    <row r="17">
      <c r="A17" s="34"/>
      <c r="B17" s="34"/>
      <c r="C17" s="34"/>
      <c r="D17" s="34"/>
    </row>
    <row r="18">
      <c r="A18" s="34"/>
      <c r="B18" s="34"/>
      <c r="C18" s="34"/>
      <c r="D18" s="34"/>
    </row>
    <row r="19">
      <c r="A19" s="34"/>
      <c r="B19" s="34"/>
      <c r="C19" s="34"/>
      <c r="D19" s="34"/>
    </row>
    <row r="20">
      <c r="A20" s="34"/>
      <c r="B20" s="34"/>
      <c r="C20" s="34"/>
      <c r="D20" s="34"/>
    </row>
    <row r="21" ht="15.75" customHeight="1">
      <c r="A21" s="34"/>
      <c r="B21" s="34"/>
      <c r="C21" s="34"/>
      <c r="D21" s="34"/>
    </row>
    <row r="22" ht="15.75" customHeight="1">
      <c r="A22" s="34"/>
      <c r="B22" s="34"/>
      <c r="C22" s="34"/>
      <c r="D22" s="34"/>
    </row>
    <row r="23" ht="15.75" customHeight="1">
      <c r="A23" s="34"/>
      <c r="B23" s="34"/>
      <c r="C23" s="34"/>
      <c r="D23" s="34"/>
    </row>
    <row r="24" ht="15.75" customHeight="1">
      <c r="A24" s="34"/>
      <c r="B24" s="34"/>
      <c r="C24" s="34"/>
      <c r="D24" s="34"/>
    </row>
    <row r="25" ht="15.75" customHeight="1">
      <c r="A25" s="34"/>
      <c r="B25" s="34"/>
      <c r="C25" s="34"/>
      <c r="D25" s="34"/>
    </row>
    <row r="26" ht="15.75" customHeight="1">
      <c r="A26" s="34"/>
      <c r="B26" s="34"/>
      <c r="C26" s="34"/>
      <c r="D26" s="34"/>
    </row>
    <row r="27" ht="15.75" customHeight="1">
      <c r="A27" s="34"/>
      <c r="B27" s="34"/>
      <c r="C27" s="34"/>
      <c r="D27" s="34"/>
    </row>
    <row r="28" ht="15.75" customHeight="1">
      <c r="A28" s="34"/>
      <c r="B28" s="34"/>
      <c r="C28" s="34"/>
      <c r="D28" s="34"/>
    </row>
    <row r="29" ht="15.75" customHeight="1">
      <c r="A29" s="34"/>
      <c r="B29" s="34"/>
      <c r="C29" s="34"/>
      <c r="D29" s="34"/>
    </row>
    <row r="30" ht="15.75" customHeight="1">
      <c r="A30" s="34"/>
      <c r="B30" s="34"/>
      <c r="C30" s="34"/>
      <c r="D30" s="34"/>
    </row>
    <row r="31" ht="15.75" customHeight="1">
      <c r="A31" s="34"/>
      <c r="B31" s="34"/>
      <c r="C31" s="34"/>
      <c r="D31" s="34"/>
    </row>
    <row r="32" ht="15.75" customHeight="1">
      <c r="A32" s="34"/>
      <c r="B32" s="34"/>
      <c r="C32" s="34"/>
      <c r="D32" s="34"/>
    </row>
    <row r="33" ht="15.75" customHeight="1">
      <c r="A33" s="34"/>
      <c r="B33" s="34"/>
      <c r="C33" s="34"/>
      <c r="D33" s="34"/>
    </row>
    <row r="34" ht="15.75" customHeight="1">
      <c r="A34" s="34"/>
      <c r="B34" s="34"/>
      <c r="C34" s="34"/>
      <c r="D34" s="34"/>
    </row>
    <row r="35" ht="15.75" customHeight="1">
      <c r="A35" s="34"/>
      <c r="B35" s="34"/>
      <c r="C35" s="34"/>
      <c r="D35" s="34"/>
    </row>
    <row r="36" ht="15.75" customHeight="1">
      <c r="A36" s="34"/>
      <c r="B36" s="34"/>
      <c r="C36" s="34"/>
      <c r="D36" s="34"/>
    </row>
    <row r="37" ht="15.75" customHeight="1">
      <c r="A37" s="34"/>
      <c r="B37" s="34"/>
      <c r="C37" s="34"/>
      <c r="D37" s="34"/>
    </row>
    <row r="38" ht="15.75" customHeight="1">
      <c r="A38" s="34"/>
      <c r="B38" s="34"/>
      <c r="C38" s="34"/>
      <c r="D38" s="34"/>
    </row>
    <row r="39" ht="15.75" customHeight="1">
      <c r="A39" s="34"/>
      <c r="B39" s="34"/>
      <c r="C39" s="34"/>
      <c r="D39" s="34"/>
    </row>
    <row r="40" ht="15.75" customHeight="1">
      <c r="A40" s="34"/>
      <c r="B40" s="34"/>
      <c r="C40" s="34"/>
      <c r="D40" s="34"/>
    </row>
    <row r="41" ht="15.75" customHeight="1">
      <c r="A41" s="34"/>
      <c r="B41" s="34"/>
      <c r="C41" s="34"/>
      <c r="D41" s="34"/>
    </row>
    <row r="42" ht="15.75" customHeight="1">
      <c r="A42" s="34"/>
      <c r="B42" s="34"/>
      <c r="C42" s="34"/>
      <c r="D42" s="34"/>
    </row>
    <row r="43" ht="15.75" customHeight="1">
      <c r="A43" s="34"/>
      <c r="B43" s="34"/>
      <c r="C43" s="34"/>
      <c r="D43" s="34"/>
    </row>
    <row r="44" ht="15.75" customHeight="1">
      <c r="A44" s="34"/>
      <c r="B44" s="34"/>
      <c r="C44" s="34"/>
      <c r="D44" s="34"/>
    </row>
    <row r="45" ht="15.75" customHeight="1">
      <c r="A45" s="34"/>
      <c r="B45" s="34"/>
      <c r="C45" s="34"/>
      <c r="D45" s="34"/>
    </row>
    <row r="46" ht="15.75" customHeight="1">
      <c r="A46" s="34"/>
      <c r="B46" s="34"/>
      <c r="C46" s="34"/>
      <c r="D46" s="34"/>
    </row>
    <row r="47" ht="15.75" customHeight="1">
      <c r="A47" s="34"/>
      <c r="B47" s="34"/>
      <c r="C47" s="34"/>
      <c r="D47" s="34"/>
    </row>
    <row r="48" ht="15.75" customHeight="1">
      <c r="A48" s="34"/>
      <c r="B48" s="34"/>
      <c r="C48" s="34"/>
      <c r="D48" s="34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7.88"/>
    <col customWidth="1" min="3" max="3" width="20.88"/>
    <col customWidth="1" min="4" max="4" width="23.0"/>
    <col customWidth="1" min="5" max="5" width="37.88"/>
    <col customWidth="1" min="6" max="6" width="25.13"/>
    <col customWidth="1" min="7" max="7" width="26.75"/>
    <col customWidth="1" min="8" max="8" width="27.5"/>
    <col customWidth="1" min="9" max="10" width="35.38"/>
    <col customWidth="1" min="11" max="11" width="28.5"/>
    <col customWidth="1" min="12" max="12" width="22.88"/>
    <col customWidth="1" min="14" max="14" width="16.38"/>
  </cols>
  <sheetData>
    <row r="1">
      <c r="A1" s="34" t="s">
        <v>76</v>
      </c>
    </row>
    <row r="2">
      <c r="A2" s="35"/>
    </row>
    <row r="3">
      <c r="A3" s="35" t="str">
        <f>IFERROR(__xludf.DUMMYFUNCTION("importrange(""https://docs.google.com/spreadsheets/d/1k-INxZIzrSWTB6S4e3_nSP_5GakYsfUgIfNn09-QEEA/edit?gid=6322877#gid=6322877"",""Form Responses 1!A1:N50"")"),"Timestamp")</f>
        <v>Timestamp</v>
      </c>
      <c r="B3" s="34" t="str">
        <f>IFERROR(__xludf.DUMMYFUNCTION("""COMPUTED_VALUE"""),"Nama Lengkap Dengan Gelar")</f>
        <v>Nama Lengkap Dengan Gelar</v>
      </c>
      <c r="C3" s="34" t="str">
        <f>IFERROR(__xludf.DUMMYFUNCTION("""COMPUTED_VALUE"""),"Nama Tanpa Gelar")</f>
        <v>Nama Tanpa Gelar</v>
      </c>
      <c r="D3" s="34" t="str">
        <f>IFERROR(__xludf.DUMMYFUNCTION("""COMPUTED_VALUE"""),"NIP")</f>
        <v>NIP</v>
      </c>
      <c r="E3" s="34" t="str">
        <f>IFERROR(__xludf.DUMMYFUNCTION("""COMPUTED_VALUE"""),"Jabatan Peserta")</f>
        <v>Jabatan Peserta</v>
      </c>
      <c r="F3" s="34" t="str">
        <f>IFERROR(__xludf.DUMMYFUNCTION("""COMPUTED_VALUE"""),"Unit Kerja")</f>
        <v>Unit Kerja</v>
      </c>
      <c r="G3" s="34" t="str">
        <f>IFERROR(__xludf.DUMMYFUNCTION("""COMPUTED_VALUE"""),"Nomor WhatsApp Peserta")</f>
        <v>Nomor WhatsApp Peserta</v>
      </c>
      <c r="H3" s="34" t="str">
        <f>IFERROR(__xludf.DUMMYFUNCTION("""COMPUTED_VALUE"""),"Email Peserta ")</f>
        <v>Email Peserta </v>
      </c>
      <c r="I3" s="34" t="str">
        <f>IFERROR(__xludf.DUMMYFUNCTION("""COMPUTED_VALUE"""),"Nama Pendamping IT")</f>
        <v>Nama Pendamping IT</v>
      </c>
      <c r="J3" s="34" t="str">
        <f>IFERROR(__xludf.DUMMYFUNCTION("""COMPUTED_VALUE"""),"Nomor WhatsApp Pendamping IT")</f>
        <v>Nomor WhatsApp Pendamping IT</v>
      </c>
      <c r="K3" s="34" t="str">
        <f>IFERROR(__xludf.DUMMYFUNCTION("""COMPUTED_VALUE"""),"Upload File DRH")</f>
        <v>Upload File DRH</v>
      </c>
      <c r="L3" s="33"/>
      <c r="M3" s="34"/>
      <c r="N3" s="34"/>
    </row>
    <row r="4">
      <c r="A4" s="35">
        <f>IFERROR(__xludf.DUMMYFUNCTION("""COMPUTED_VALUE"""),45959.64743869213)</f>
        <v>45959.64744</v>
      </c>
      <c r="B4" s="34" t="str">
        <f>IFERROR(__xludf.DUMMYFUNCTION("""COMPUTED_VALUE"""),"Sukarno, S.H")</f>
        <v>Sukarno, S.H</v>
      </c>
      <c r="C4" s="34" t="str">
        <f>IFERROR(__xludf.DUMMYFUNCTION("""COMPUTED_VALUE"""),"Sukarno")</f>
        <v>Sukarno</v>
      </c>
      <c r="D4" s="34" t="str">
        <f>IFERROR(__xludf.DUMMYFUNCTION("""COMPUTED_VALUE"""),"196812222002101001")</f>
        <v>196812222002101001</v>
      </c>
      <c r="E4" s="34" t="str">
        <f>IFERROR(__xludf.DUMMYFUNCTION("""COMPUTED_VALUE"""),"Kepala Dinas")</f>
        <v>Kepala Dinas</v>
      </c>
      <c r="F4" s="34" t="str">
        <f>IFERROR(__xludf.DUMMYFUNCTION("""COMPUTED_VALUE"""),"Dinas Pariwisata dan Kebudayaan ")</f>
        <v>Dinas Pariwisata dan Kebudayaan </v>
      </c>
      <c r="G4" s="34">
        <f>IFERROR(__xludf.DUMMYFUNCTION("""COMPUTED_VALUE"""),6.285238780613E12)</f>
        <v>6285238780613</v>
      </c>
      <c r="H4" s="34" t="str">
        <f>IFERROR(__xludf.DUMMYFUNCTION("""COMPUTED_VALUE"""),"sukarnobimma@gmail.com")</f>
        <v>sukarnobimma@gmail.com</v>
      </c>
      <c r="I4" s="34" t="str">
        <f>IFERROR(__xludf.DUMMYFUNCTION("""COMPUTED_VALUE"""),"Yhunita Ramdhani ")</f>
        <v>Yhunita Ramdhani </v>
      </c>
      <c r="J4" s="34">
        <f>IFERROR(__xludf.DUMMYFUNCTION("""COMPUTED_VALUE"""),6.285138846511E12)</f>
        <v>6285138846511</v>
      </c>
      <c r="K4" s="36" t="str">
        <f>IFERROR(__xludf.DUMMYFUNCTION("""COMPUTED_VALUE"""),"https://drive.google.com/open?id=1cJESZfCxaBrKSiXn7UJ_7Kl87tTQrTWD")</f>
        <v>https://drive.google.com/open?id=1cJESZfCxaBrKSiXn7UJ_7Kl87tTQrTWD</v>
      </c>
      <c r="L4" s="34"/>
      <c r="M4" s="34"/>
      <c r="N4" s="34"/>
    </row>
    <row r="5">
      <c r="A5" s="35">
        <f>IFERROR(__xludf.DUMMYFUNCTION("""COMPUTED_VALUE"""),45959.61687391203)</f>
        <v>45959.61687</v>
      </c>
      <c r="B5" s="34" t="str">
        <f>IFERROR(__xludf.DUMMYFUNCTION("""COMPUTED_VALUE"""),"Sukarno, S.H")</f>
        <v>Sukarno, S.H</v>
      </c>
      <c r="C5" s="34" t="str">
        <f>IFERROR(__xludf.DUMMYFUNCTION("""COMPUTED_VALUE"""),"Sukarno")</f>
        <v>Sukarno</v>
      </c>
      <c r="D5" s="34" t="str">
        <f>IFERROR(__xludf.DUMMYFUNCTION("""COMPUTED_VALUE"""),"196812222002101001")</f>
        <v>196812222002101001</v>
      </c>
      <c r="E5" s="34" t="str">
        <f>IFERROR(__xludf.DUMMYFUNCTION("""COMPUTED_VALUE"""),"Kepala Dinas")</f>
        <v>Kepala Dinas</v>
      </c>
      <c r="F5" s="34" t="str">
        <f>IFERROR(__xludf.DUMMYFUNCTION("""COMPUTED_VALUE"""),"Dinas Pariwisata ")</f>
        <v>Dinas Pariwisata </v>
      </c>
      <c r="G5" s="34">
        <f>IFERROR(__xludf.DUMMYFUNCTION("""COMPUTED_VALUE"""),6.285238780613E12)</f>
        <v>6285238780613</v>
      </c>
      <c r="H5" s="34" t="str">
        <f>IFERROR(__xludf.DUMMYFUNCTION("""COMPUTED_VALUE"""),"sukarnobimma@gmail.com")</f>
        <v>sukarnobimma@gmail.com</v>
      </c>
      <c r="I5" s="34" t="str">
        <f>IFERROR(__xludf.DUMMYFUNCTION("""COMPUTED_VALUE"""),"Yhunita Ramdhani")</f>
        <v>Yhunita Ramdhani</v>
      </c>
      <c r="J5" s="34">
        <f>IFERROR(__xludf.DUMMYFUNCTION("""COMPUTED_VALUE"""),6.285138846511E12)</f>
        <v>6285138846511</v>
      </c>
      <c r="K5" s="36" t="str">
        <f>IFERROR(__xludf.DUMMYFUNCTION("""COMPUTED_VALUE"""),"https://drive.google.com/open?id=1p9yBuuyf_Ep9Me9Ol_ztP1PcZd1wzWP3")</f>
        <v>https://drive.google.com/open?id=1p9yBuuyf_Ep9Me9Ol_ztP1PcZd1wzWP3</v>
      </c>
      <c r="L5" s="34"/>
      <c r="M5" s="34"/>
      <c r="N5" s="34"/>
    </row>
    <row r="6">
      <c r="A6" s="35">
        <f>IFERROR(__xludf.DUMMYFUNCTION("""COMPUTED_VALUE"""),45960.46342597222)</f>
        <v>45960.46343</v>
      </c>
      <c r="B6" s="34" t="str">
        <f>IFERROR(__xludf.DUMMYFUNCTION("""COMPUTED_VALUE"""),"Syarif Rustaman, S.Sos., M.AP")</f>
        <v>Syarif Rustaman, S.Sos., M.AP</v>
      </c>
      <c r="C6" s="34" t="str">
        <f>IFERROR(__xludf.DUMMYFUNCTION("""COMPUTED_VALUE"""),"Syarif Rustaman")</f>
        <v>Syarif Rustaman</v>
      </c>
      <c r="D6" s="34" t="str">
        <f>IFERROR(__xludf.DUMMYFUNCTION("""COMPUTED_VALUE"""),"197304091992111001")</f>
        <v>197304091992111001</v>
      </c>
      <c r="E6" s="34" t="str">
        <f>IFERROR(__xludf.DUMMYFUNCTION("""COMPUTED_VALUE"""),"Kepala Badan")</f>
        <v>Kepala Badan</v>
      </c>
      <c r="F6" s="34" t="str">
        <f>IFERROR(__xludf.DUMMYFUNCTION("""COMPUTED_VALUE"""),"Badan Perencanaan Pembangunan Daerah (BAPPEDA) Kota Bima")</f>
        <v>Badan Perencanaan Pembangunan Daerah (BAPPEDA) Kota Bima</v>
      </c>
      <c r="G6" s="34">
        <f>IFERROR(__xludf.DUMMYFUNCTION("""COMPUTED_VALUE"""),6.281353448844E12)</f>
        <v>6281353448844</v>
      </c>
      <c r="H6" s="34" t="str">
        <f>IFERROR(__xludf.DUMMYFUNCTION("""COMPUTED_VALUE"""),"rustamansyarief@gmail.com")</f>
        <v>rustamansyarief@gmail.com</v>
      </c>
      <c r="I6" s="34" t="str">
        <f>IFERROR(__xludf.DUMMYFUNCTION("""COMPUTED_VALUE"""),"Fazhurrahman, S.STP., M.AP")</f>
        <v>Fazhurrahman, S.STP., M.AP</v>
      </c>
      <c r="J6" s="34">
        <f>IFERROR(__xludf.DUMMYFUNCTION("""COMPUTED_VALUE"""),6.285337148341E12)</f>
        <v>6285337148341</v>
      </c>
      <c r="K6" s="36" t="str">
        <f>IFERROR(__xludf.DUMMYFUNCTION("""COMPUTED_VALUE"""),"https://drive.google.com/open?id=1adhIsjwyjjQuxeiJIzBrvWPxqZA6-rs_")</f>
        <v>https://drive.google.com/open?id=1adhIsjwyjjQuxeiJIzBrvWPxqZA6-rs_</v>
      </c>
      <c r="L6" s="34"/>
      <c r="M6" s="34"/>
      <c r="N6" s="34"/>
    </row>
    <row r="7">
      <c r="A7" s="35">
        <f>IFERROR(__xludf.DUMMYFUNCTION("""COMPUTED_VALUE"""),45960.57577564815)</f>
        <v>45960.57578</v>
      </c>
      <c r="B7" s="34" t="str">
        <f>IFERROR(__xludf.DUMMYFUNCTION("""COMPUTED_VALUE"""),"Dr. Muhammad Hasyim, S.Sos, SH,M.Ec.Dev")</f>
        <v>Dr. Muhammad Hasyim, S.Sos, SH,M.Ec.Dev</v>
      </c>
      <c r="C7" s="34" t="str">
        <f>IFERROR(__xludf.DUMMYFUNCTION("""COMPUTED_VALUE"""),"Muhammad Hasyim")</f>
        <v>Muhammad Hasyim</v>
      </c>
      <c r="D7" s="34" t="str">
        <f>IFERROR(__xludf.DUMMYFUNCTION("""COMPUTED_VALUE"""),"197208241993031003")</f>
        <v>197208241993031003</v>
      </c>
      <c r="E7" s="34" t="str">
        <f>IFERROR(__xludf.DUMMYFUNCTION("""COMPUTED_VALUE"""),"KEPALA DINAS")</f>
        <v>KEPALA DINAS</v>
      </c>
      <c r="F7" s="34" t="str">
        <f>IFERROR(__xludf.DUMMYFUNCTION("""COMPUTED_VALUE"""),"DINAS KOMUNIKASI INFORMATIKA DAN STATISTIK")</f>
        <v>DINAS KOMUNIKASI INFORMATIKA DAN STATISTIK</v>
      </c>
      <c r="G7" s="34">
        <f>IFERROR(__xludf.DUMMYFUNCTION("""COMPUTED_VALUE"""),6.285253961333E12)</f>
        <v>6285253961333</v>
      </c>
      <c r="H7" s="34" t="str">
        <f>IFERROR(__xludf.DUMMYFUNCTION("""COMPUTED_VALUE"""),"hasyim.economic@bimakota.go.id")</f>
        <v>hasyim.economic@bimakota.go.id</v>
      </c>
      <c r="I7" s="34" t="str">
        <f>IFERROR(__xludf.DUMMYFUNCTION("""COMPUTED_VALUE"""),"Muhammad Rasyidin,S.Kom,MM")</f>
        <v>Muhammad Rasyidin,S.Kom,MM</v>
      </c>
      <c r="J7" s="34">
        <f>IFERROR(__xludf.DUMMYFUNCTION("""COMPUTED_VALUE"""),6.28123753515E11)</f>
        <v>628123753515</v>
      </c>
      <c r="K7" s="36" t="str">
        <f>IFERROR(__xludf.DUMMYFUNCTION("""COMPUTED_VALUE"""),"https://drive.google.com/open?id=1io-mHdTTwQDlQSvx5wLdoTknuKFUz30y")</f>
        <v>https://drive.google.com/open?id=1io-mHdTTwQDlQSvx5wLdoTknuKFUz30y</v>
      </c>
      <c r="L7" s="34"/>
      <c r="M7" s="34"/>
      <c r="N7" s="34"/>
    </row>
    <row r="8">
      <c r="A8" s="35">
        <f>IFERROR(__xludf.DUMMYFUNCTION("""COMPUTED_VALUE"""),45960.6618177662)</f>
        <v>45960.66182</v>
      </c>
      <c r="B8" s="34" t="str">
        <f>IFERROR(__xludf.DUMMYFUNCTION("""COMPUTED_VALUE"""),"Drs. H. Muhammad Fakhrunraji, M.E., CGCAE")</f>
        <v>Drs. H. Muhammad Fakhrunraji, M.E., CGCAE</v>
      </c>
      <c r="C8" s="34" t="str">
        <f>IFERROR(__xludf.DUMMYFUNCTION("""COMPUTED_VALUE"""),"Muhammad Fakhrunraji")</f>
        <v>Muhammad Fakhrunraji</v>
      </c>
      <c r="D8" s="34" t="str">
        <f>IFERROR(__xludf.DUMMYFUNCTION("""COMPUTED_VALUE"""),"196808281992031010")</f>
        <v>196808281992031010</v>
      </c>
      <c r="E8" s="34" t="str">
        <f>IFERROR(__xludf.DUMMYFUNCTION("""COMPUTED_VALUE"""),"Inspektur Kota Bima")</f>
        <v>Inspektur Kota Bima</v>
      </c>
      <c r="F8" s="34" t="str">
        <f>IFERROR(__xludf.DUMMYFUNCTION("""COMPUTED_VALUE"""),"Inspektorat Kota Bima")</f>
        <v>Inspektorat Kota Bima</v>
      </c>
      <c r="G8" s="34">
        <f>IFERROR(__xludf.DUMMYFUNCTION("""COMPUTED_VALUE"""),6.28113902419E11)</f>
        <v>628113902419</v>
      </c>
      <c r="H8" s="34" t="str">
        <f>IFERROR(__xludf.DUMMYFUNCTION("""COMPUTED_VALUE"""),"muhfakhrunraji68@gmail com")</f>
        <v>muhfakhrunraji68@gmail com</v>
      </c>
      <c r="I8" s="34" t="str">
        <f>IFERROR(__xludf.DUMMYFUNCTION("""COMPUTED_VALUE"""),"M, Adi Farhan")</f>
        <v>M, Adi Farhan</v>
      </c>
      <c r="J8" s="34">
        <f>IFERROR(__xludf.DUMMYFUNCTION("""COMPUTED_VALUE"""),6.285253817944E12)</f>
        <v>6285253817944</v>
      </c>
      <c r="K8" s="36" t="str">
        <f>IFERROR(__xludf.DUMMYFUNCTION("""COMPUTED_VALUE"""),"https://drive.google.com/open?id=1RxEmb4EpkSekBBRBRomQA8hzc_JQrqZI")</f>
        <v>https://drive.google.com/open?id=1RxEmb4EpkSekBBRBRomQA8hzc_JQrqZI</v>
      </c>
      <c r="L8" s="34"/>
      <c r="M8" s="34"/>
      <c r="N8" s="34"/>
    </row>
    <row r="9">
      <c r="A9" s="35">
        <f>IFERROR(__xludf.DUMMYFUNCTION("""COMPUTED_VALUE"""),45960.69933872685)</f>
        <v>45960.69934</v>
      </c>
      <c r="B9" s="34" t="str">
        <f>IFERROR(__xludf.DUMMYFUNCTION("""COMPUTED_VALUE"""),"Drs. IS FAHMIN, M.A.P")</f>
        <v>Drs. IS FAHMIN, M.A.P</v>
      </c>
      <c r="C9" s="34" t="str">
        <f>IFERROR(__xludf.DUMMYFUNCTION("""COMPUTED_VALUE"""),"IS FAHMIN")</f>
        <v>IS FAHMIN</v>
      </c>
      <c r="D9" s="34" t="str">
        <f>IFERROR(__xludf.DUMMYFUNCTION("""COMPUTED_VALUE"""),"197311101992111001")</f>
        <v>197311101992111001</v>
      </c>
      <c r="E9" s="34" t="str">
        <f>IFERROR(__xludf.DUMMYFUNCTION("""COMPUTED_VALUE"""),"Kepala Dinas")</f>
        <v>Kepala Dinas</v>
      </c>
      <c r="F9" s="34" t="str">
        <f>IFERROR(__xludf.DUMMYFUNCTION("""COMPUTED_VALUE"""),"Dinas Perhubungan Kota Bima")</f>
        <v>Dinas Perhubungan Kota Bima</v>
      </c>
      <c r="G9" s="34">
        <f>IFERROR(__xludf.DUMMYFUNCTION("""COMPUTED_VALUE"""),6.282147370989E12)</f>
        <v>6282147370989</v>
      </c>
      <c r="H9" s="34" t="str">
        <f>IFERROR(__xludf.DUMMYFUNCTION("""COMPUTED_VALUE"""),"isfahminisfahmin@gmail.com")</f>
        <v>isfahminisfahmin@gmail.com</v>
      </c>
      <c r="I9" s="34" t="str">
        <f>IFERROR(__xludf.DUMMYFUNCTION("""COMPUTED_VALUE"""),"NUR AINI")</f>
        <v>NUR AINI</v>
      </c>
      <c r="J9" s="34">
        <f>IFERROR(__xludf.DUMMYFUNCTION("""COMPUTED_VALUE"""),6.282339039387E12)</f>
        <v>6282339039387</v>
      </c>
      <c r="K9" s="36" t="str">
        <f>IFERROR(__xludf.DUMMYFUNCTION("""COMPUTED_VALUE"""),"https://drive.google.com/open?id=1g7km6768_QT3qM0xPRLUMwMCok1Ghe1b")</f>
        <v>https://drive.google.com/open?id=1g7km6768_QT3qM0xPRLUMwMCok1Ghe1b</v>
      </c>
      <c r="L9" s="34"/>
      <c r="M9" s="34"/>
      <c r="N9" s="34"/>
    </row>
    <row r="10">
      <c r="A10" s="35">
        <f>IFERROR(__xludf.DUMMYFUNCTION("""COMPUTED_VALUE"""),45961.50428685185)</f>
        <v>45961.50429</v>
      </c>
      <c r="B10" s="34" t="str">
        <f>IFERROR(__xludf.DUMMYFUNCTION("""COMPUTED_VALUE"""),"Arif Roesman Effendy, ST.,MSc., MT.")</f>
        <v>Arif Roesman Effendy, ST.,MSc., MT.</v>
      </c>
      <c r="C10" s="34" t="str">
        <f>IFERROR(__xludf.DUMMYFUNCTION("""COMPUTED_VALUE"""),"Arif Roesman Effendy")</f>
        <v>Arif Roesman Effendy</v>
      </c>
      <c r="D10" s="34" t="str">
        <f>IFERROR(__xludf.DUMMYFUNCTION("""COMPUTED_VALUE"""),"197108152005011011")</f>
        <v>197108152005011011</v>
      </c>
      <c r="E10" s="34" t="str">
        <f>IFERROR(__xludf.DUMMYFUNCTION("""COMPUTED_VALUE"""),"Kepala Badan")</f>
        <v>Kepala Badan</v>
      </c>
      <c r="F10" s="34" t="str">
        <f>IFERROR(__xludf.DUMMYFUNCTION("""COMPUTED_VALUE"""),"Badan Riset dan Inovasi Daerah Kota Bima")</f>
        <v>Badan Riset dan Inovasi Daerah Kota Bima</v>
      </c>
      <c r="G10" s="34">
        <f>IFERROR(__xludf.DUMMYFUNCTION("""COMPUTED_VALUE"""),6.285338633833E12)</f>
        <v>6285338633833</v>
      </c>
      <c r="H10" s="34" t="str">
        <f>IFERROR(__xludf.DUMMYFUNCTION("""COMPUTED_VALUE"""),"ar.effendy@gmail.com")</f>
        <v>ar.effendy@gmail.com</v>
      </c>
      <c r="I10" s="34" t="str">
        <f>IFERROR(__xludf.DUMMYFUNCTION("""COMPUTED_VALUE"""),"Ahmad Yani Muhlis, M.Pd dan Neneng Halidah, S.Pi")</f>
        <v>Ahmad Yani Muhlis, M.Pd dan Neneng Halidah, S.Pi</v>
      </c>
      <c r="J10" s="34">
        <f>IFERROR(__xludf.DUMMYFUNCTION("""COMPUTED_VALUE"""),6.285338248281E12)</f>
        <v>6285338248281</v>
      </c>
      <c r="K10" s="36" t="str">
        <f>IFERROR(__xludf.DUMMYFUNCTION("""COMPUTED_VALUE"""),"https://drive.google.com/open?id=1mvqTXndU-1CdHwEmyMF59FuihBX538KZ")</f>
        <v>https://drive.google.com/open?id=1mvqTXndU-1CdHwEmyMF59FuihBX538KZ</v>
      </c>
      <c r="L10" s="34"/>
      <c r="M10" s="34"/>
      <c r="N10" s="34"/>
    </row>
    <row r="11">
      <c r="A11" s="35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</row>
    <row r="12">
      <c r="A12" s="35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</row>
    <row r="13">
      <c r="A13" s="35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</row>
    <row r="14">
      <c r="A14" s="35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</row>
    <row r="15">
      <c r="A15" s="35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</row>
    <row r="16">
      <c r="A16" s="35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</row>
    <row r="17">
      <c r="A17" s="35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</row>
    <row r="18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</row>
    <row r="19">
      <c r="A19" s="35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</row>
    <row r="20">
      <c r="A20" s="35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</row>
    <row r="21" ht="15.75" customHeight="1">
      <c r="A21" s="35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</row>
    <row r="22" ht="15.75" customHeight="1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</row>
    <row r="23" ht="15.75" customHeight="1">
      <c r="A23" s="35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</row>
    <row r="24" ht="15.75" customHeight="1">
      <c r="A24" s="35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</row>
    <row r="25" ht="15.75" customHeight="1">
      <c r="A25" s="35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</row>
    <row r="26" ht="15.75" customHeight="1">
      <c r="A26" s="35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</row>
    <row r="27" ht="15.75" customHeight="1">
      <c r="A27" s="35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</row>
    <row r="28" ht="15.75" customHeight="1">
      <c r="A28" s="35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</row>
    <row r="29" ht="15.75" customHeight="1">
      <c r="A29" s="35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</row>
    <row r="30" ht="15.75" customHeight="1">
      <c r="A30" s="35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</row>
    <row r="31" ht="15.75" customHeight="1">
      <c r="A31" s="35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</row>
    <row r="32" ht="15.75" customHeight="1">
      <c r="A32" s="35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</row>
    <row r="33" ht="15.75" customHeight="1">
      <c r="A33" s="35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</row>
    <row r="34" ht="15.75" customHeight="1">
      <c r="A34" s="35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</row>
    <row r="35" ht="15.75" customHeight="1">
      <c r="A35" s="35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</row>
    <row r="36" ht="15.75" customHeight="1">
      <c r="A36" s="35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</row>
    <row r="37" ht="15.75" customHeight="1">
      <c r="A37" s="35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</row>
    <row r="38" ht="15.75" customHeight="1">
      <c r="A38" s="35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</row>
    <row r="39" ht="15.75" customHeight="1">
      <c r="A39" s="35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</row>
    <row r="40" ht="15.75" customHeight="1">
      <c r="A40" s="35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</row>
    <row r="41" ht="15.75" customHeight="1">
      <c r="A41" s="35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</row>
    <row r="42" ht="15.75" customHeight="1">
      <c r="A42" s="35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</row>
    <row r="43" ht="15.75" customHeight="1">
      <c r="A43" s="35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</row>
    <row r="44" ht="15.75" customHeight="1">
      <c r="A44" s="35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</row>
    <row r="45" ht="15.75" customHeight="1">
      <c r="A45" s="35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</row>
    <row r="46" ht="15.75" customHeight="1">
      <c r="A46" s="35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</row>
    <row r="47" ht="15.75" customHeight="1">
      <c r="A47" s="35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</row>
    <row r="48" ht="15.75" customHeight="1">
      <c r="A48" s="35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</row>
    <row r="49" ht="15.75" customHeight="1">
      <c r="A49" s="35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</row>
    <row r="50" ht="15.75" customHeight="1">
      <c r="A50" s="35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</row>
    <row r="51" ht="15.75" customHeight="1">
      <c r="A51" s="35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</row>
    <row r="52" ht="15.75" customHeight="1">
      <c r="A52" s="35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</row>
    <row r="53" ht="15.75" customHeight="1">
      <c r="A53" s="35"/>
      <c r="B53" s="34"/>
      <c r="C53" s="34"/>
      <c r="D53" s="34"/>
      <c r="E53" s="34"/>
      <c r="F53" s="34"/>
      <c r="G53" s="34"/>
      <c r="H53" s="34"/>
      <c r="I53" s="34"/>
      <c r="J53" s="34"/>
    </row>
    <row r="54" ht="15.75" customHeight="1">
      <c r="A54" s="35"/>
      <c r="B54" s="34"/>
      <c r="C54" s="34"/>
      <c r="D54" s="34"/>
      <c r="E54" s="34"/>
      <c r="F54" s="34"/>
      <c r="G54" s="34"/>
      <c r="H54" s="34"/>
      <c r="I54" s="34"/>
      <c r="J54" s="34"/>
    </row>
    <row r="55" ht="15.75" customHeight="1">
      <c r="A55" s="35"/>
      <c r="B55" s="34"/>
      <c r="C55" s="34"/>
      <c r="D55" s="34"/>
      <c r="E55" s="34"/>
      <c r="F55" s="34"/>
      <c r="G55" s="34"/>
      <c r="H55" s="34"/>
      <c r="I55" s="34"/>
      <c r="J55" s="34"/>
    </row>
    <row r="56" ht="15.75" customHeight="1">
      <c r="A56" s="35"/>
      <c r="B56" s="34"/>
      <c r="C56" s="34"/>
      <c r="D56" s="34"/>
      <c r="E56" s="34"/>
      <c r="F56" s="34"/>
      <c r="G56" s="34"/>
      <c r="H56" s="34"/>
      <c r="I56" s="34"/>
      <c r="J56" s="34"/>
    </row>
    <row r="57" ht="15.75" customHeight="1">
      <c r="A57" s="35"/>
      <c r="B57" s="34"/>
      <c r="C57" s="34"/>
      <c r="D57" s="34"/>
      <c r="E57" s="34"/>
      <c r="F57" s="34"/>
      <c r="G57" s="34"/>
      <c r="H57" s="34"/>
      <c r="I57" s="34"/>
      <c r="J57" s="34"/>
    </row>
    <row r="58" ht="15.75" customHeight="1">
      <c r="A58" s="35"/>
      <c r="B58" s="34"/>
      <c r="C58" s="34"/>
      <c r="D58" s="34"/>
      <c r="E58" s="34"/>
      <c r="F58" s="34"/>
      <c r="G58" s="34"/>
      <c r="H58" s="34"/>
      <c r="I58" s="34"/>
      <c r="J58" s="34"/>
    </row>
    <row r="59" ht="15.75" customHeight="1">
      <c r="A59" s="35"/>
      <c r="B59" s="34"/>
      <c r="C59" s="34"/>
      <c r="D59" s="34"/>
      <c r="E59" s="34"/>
      <c r="F59" s="34"/>
      <c r="G59" s="34"/>
      <c r="H59" s="34"/>
      <c r="I59" s="34"/>
      <c r="J59" s="34"/>
    </row>
    <row r="60" ht="15.75" customHeight="1">
      <c r="A60" s="35"/>
      <c r="B60" s="34"/>
      <c r="C60" s="34"/>
      <c r="D60" s="34"/>
      <c r="E60" s="34"/>
      <c r="F60" s="34"/>
      <c r="G60" s="34"/>
      <c r="H60" s="34"/>
      <c r="I60" s="34"/>
      <c r="J60" s="34"/>
    </row>
    <row r="61" ht="15.75" customHeight="1">
      <c r="A61" s="35"/>
      <c r="B61" s="34"/>
      <c r="C61" s="34"/>
      <c r="D61" s="34"/>
      <c r="E61" s="34"/>
      <c r="F61" s="34"/>
      <c r="G61" s="34"/>
      <c r="H61" s="34"/>
      <c r="I61" s="34"/>
      <c r="J61" s="34"/>
    </row>
    <row r="62" ht="15.75" customHeight="1">
      <c r="A62" s="35"/>
      <c r="B62" s="34"/>
      <c r="C62" s="34"/>
      <c r="D62" s="34"/>
      <c r="E62" s="34"/>
      <c r="F62" s="34"/>
      <c r="G62" s="34"/>
      <c r="H62" s="34"/>
      <c r="I62" s="34"/>
      <c r="J62" s="34"/>
    </row>
    <row r="63" ht="15.75" customHeight="1">
      <c r="A63" s="35"/>
      <c r="B63" s="34"/>
      <c r="C63" s="34"/>
      <c r="D63" s="34"/>
      <c r="E63" s="34"/>
      <c r="F63" s="34"/>
      <c r="G63" s="34"/>
      <c r="H63" s="34"/>
      <c r="I63" s="34"/>
      <c r="J63" s="34"/>
    </row>
    <row r="64" ht="15.75" customHeight="1">
      <c r="A64" s="35"/>
      <c r="B64" s="34"/>
      <c r="C64" s="34"/>
      <c r="D64" s="34"/>
      <c r="E64" s="34"/>
      <c r="F64" s="34"/>
      <c r="G64" s="34"/>
      <c r="H64" s="34"/>
      <c r="I64" s="34"/>
      <c r="J64" s="34"/>
    </row>
    <row r="65" ht="15.75" customHeight="1">
      <c r="A65" s="35"/>
      <c r="B65" s="34"/>
      <c r="C65" s="34"/>
      <c r="D65" s="34"/>
      <c r="E65" s="34"/>
      <c r="F65" s="34"/>
      <c r="G65" s="34"/>
      <c r="H65" s="34"/>
      <c r="I65" s="34"/>
      <c r="J65" s="34"/>
    </row>
    <row r="66" ht="15.75" customHeight="1">
      <c r="A66" s="35"/>
      <c r="B66" s="34"/>
      <c r="C66" s="34"/>
      <c r="D66" s="34"/>
      <c r="E66" s="34"/>
      <c r="F66" s="34"/>
      <c r="G66" s="34"/>
      <c r="H66" s="34"/>
      <c r="I66" s="34"/>
      <c r="J66" s="34"/>
    </row>
    <row r="67" ht="15.75" customHeight="1">
      <c r="A67" s="35"/>
      <c r="B67" s="34"/>
      <c r="C67" s="34"/>
      <c r="D67" s="34"/>
      <c r="E67" s="34"/>
      <c r="F67" s="34"/>
      <c r="G67" s="34"/>
      <c r="H67" s="34"/>
      <c r="I67" s="34"/>
      <c r="J67" s="34"/>
    </row>
    <row r="68" ht="15.75" customHeight="1">
      <c r="A68" s="35"/>
      <c r="B68" s="34"/>
      <c r="C68" s="34"/>
      <c r="D68" s="34"/>
      <c r="E68" s="34"/>
      <c r="F68" s="34"/>
      <c r="G68" s="34"/>
      <c r="H68" s="34"/>
      <c r="I68" s="34"/>
      <c r="J68" s="34"/>
    </row>
    <row r="69" ht="15.75" customHeight="1">
      <c r="A69" s="35"/>
      <c r="B69" s="34"/>
      <c r="C69" s="34"/>
      <c r="D69" s="34"/>
      <c r="E69" s="34"/>
      <c r="F69" s="34"/>
      <c r="G69" s="34"/>
      <c r="H69" s="34"/>
      <c r="I69" s="34"/>
      <c r="J69" s="34"/>
    </row>
    <row r="70" ht="15.75" customHeight="1">
      <c r="A70" s="35"/>
      <c r="B70" s="34"/>
      <c r="C70" s="34"/>
      <c r="D70" s="34"/>
      <c r="E70" s="34"/>
      <c r="F70" s="34"/>
      <c r="G70" s="34"/>
      <c r="H70" s="34"/>
      <c r="I70" s="34"/>
      <c r="J70" s="34"/>
    </row>
    <row r="71" ht="15.75" customHeight="1">
      <c r="A71" s="35"/>
      <c r="B71" s="34"/>
      <c r="C71" s="34"/>
      <c r="D71" s="34"/>
      <c r="E71" s="34"/>
      <c r="F71" s="34"/>
      <c r="G71" s="34"/>
      <c r="H71" s="34"/>
      <c r="I71" s="34"/>
      <c r="J71" s="34"/>
    </row>
    <row r="72" ht="15.75" customHeight="1">
      <c r="A72" s="35"/>
      <c r="B72" s="34"/>
      <c r="C72" s="34"/>
      <c r="D72" s="34"/>
      <c r="E72" s="34"/>
      <c r="F72" s="34"/>
      <c r="G72" s="34"/>
      <c r="H72" s="34"/>
      <c r="I72" s="34"/>
      <c r="J72" s="34"/>
    </row>
    <row r="73" ht="15.75" customHeight="1">
      <c r="A73" s="35"/>
      <c r="B73" s="34"/>
      <c r="C73" s="34"/>
      <c r="D73" s="34"/>
      <c r="E73" s="34"/>
      <c r="F73" s="34"/>
      <c r="G73" s="34"/>
      <c r="H73" s="34"/>
      <c r="I73" s="34"/>
      <c r="J73" s="34"/>
    </row>
    <row r="74" ht="15.75" customHeight="1">
      <c r="A74" s="35"/>
      <c r="B74" s="34"/>
      <c r="C74" s="34"/>
      <c r="D74" s="34"/>
      <c r="E74" s="34"/>
      <c r="F74" s="34"/>
      <c r="G74" s="34"/>
      <c r="H74" s="34"/>
      <c r="I74" s="34"/>
      <c r="J74" s="34"/>
    </row>
    <row r="75" ht="15.75" customHeight="1">
      <c r="A75" s="35"/>
      <c r="B75" s="34"/>
      <c r="C75" s="34"/>
      <c r="D75" s="34"/>
      <c r="E75" s="34"/>
      <c r="F75" s="34"/>
      <c r="G75" s="34"/>
      <c r="H75" s="34"/>
      <c r="I75" s="34"/>
      <c r="J75" s="34"/>
    </row>
    <row r="76" ht="15.75" customHeight="1">
      <c r="A76" s="35"/>
      <c r="B76" s="34"/>
      <c r="C76" s="34"/>
      <c r="D76" s="34"/>
      <c r="E76" s="34"/>
      <c r="F76" s="34"/>
      <c r="G76" s="34"/>
      <c r="H76" s="34"/>
      <c r="I76" s="34"/>
      <c r="J76" s="34"/>
    </row>
    <row r="77" ht="15.75" customHeight="1">
      <c r="A77" s="35"/>
      <c r="B77" s="34"/>
      <c r="C77" s="34"/>
      <c r="D77" s="34"/>
      <c r="E77" s="34"/>
      <c r="F77" s="34"/>
      <c r="G77" s="34"/>
      <c r="H77" s="34"/>
      <c r="I77" s="34"/>
      <c r="J77" s="34"/>
    </row>
    <row r="78" ht="15.75" customHeight="1">
      <c r="A78" s="35"/>
      <c r="B78" s="34"/>
      <c r="C78" s="34"/>
      <c r="D78" s="34"/>
      <c r="E78" s="34"/>
      <c r="F78" s="34"/>
      <c r="G78" s="34"/>
      <c r="H78" s="34"/>
      <c r="I78" s="34"/>
      <c r="J78" s="34"/>
    </row>
    <row r="79" ht="15.75" customHeight="1">
      <c r="A79" s="35"/>
      <c r="B79" s="34"/>
      <c r="C79" s="34"/>
      <c r="D79" s="34"/>
      <c r="E79" s="34"/>
      <c r="F79" s="34"/>
      <c r="G79" s="34"/>
      <c r="H79" s="34"/>
      <c r="I79" s="34"/>
      <c r="J79" s="34"/>
    </row>
    <row r="80" ht="15.75" customHeight="1">
      <c r="A80" s="35"/>
      <c r="B80" s="34"/>
      <c r="C80" s="34"/>
      <c r="D80" s="34"/>
      <c r="E80" s="34"/>
      <c r="F80" s="34"/>
      <c r="G80" s="34"/>
      <c r="H80" s="34"/>
      <c r="I80" s="34"/>
      <c r="J80" s="34"/>
    </row>
    <row r="81" ht="15.75" customHeight="1">
      <c r="A81" s="35"/>
      <c r="B81" s="34"/>
      <c r="C81" s="34"/>
      <c r="D81" s="34"/>
      <c r="E81" s="34"/>
      <c r="F81" s="34"/>
      <c r="G81" s="34"/>
      <c r="H81" s="34"/>
      <c r="I81" s="34"/>
      <c r="J81" s="34"/>
    </row>
    <row r="82" ht="15.75" customHeight="1">
      <c r="A82" s="35"/>
      <c r="B82" s="34"/>
      <c r="C82" s="34"/>
      <c r="D82" s="34"/>
      <c r="E82" s="34"/>
      <c r="F82" s="34"/>
      <c r="G82" s="34"/>
      <c r="H82" s="34"/>
      <c r="I82" s="34"/>
      <c r="J82" s="34"/>
    </row>
    <row r="83" ht="15.75" customHeight="1">
      <c r="A83" s="35"/>
      <c r="B83" s="34"/>
      <c r="C83" s="34"/>
      <c r="D83" s="34"/>
      <c r="E83" s="34"/>
      <c r="F83" s="34"/>
      <c r="G83" s="34"/>
      <c r="H83" s="34"/>
      <c r="I83" s="34"/>
      <c r="J83" s="34"/>
    </row>
    <row r="84" ht="15.75" customHeight="1">
      <c r="A84" s="35"/>
      <c r="B84" s="34"/>
      <c r="C84" s="34"/>
      <c r="D84" s="34"/>
      <c r="E84" s="34"/>
      <c r="F84" s="34"/>
      <c r="G84" s="34"/>
      <c r="H84" s="34"/>
      <c r="I84" s="34"/>
      <c r="J84" s="34"/>
    </row>
    <row r="85" ht="15.75" customHeight="1">
      <c r="A85" s="35"/>
      <c r="B85" s="34"/>
      <c r="C85" s="34"/>
      <c r="D85" s="34"/>
      <c r="E85" s="34"/>
      <c r="F85" s="34"/>
      <c r="G85" s="34"/>
      <c r="H85" s="34"/>
      <c r="I85" s="34"/>
      <c r="J85" s="34"/>
    </row>
    <row r="86" ht="15.75" customHeight="1">
      <c r="A86" s="35"/>
      <c r="B86" s="34"/>
      <c r="C86" s="34"/>
      <c r="D86" s="34"/>
      <c r="E86" s="34"/>
      <c r="F86" s="34"/>
      <c r="G86" s="34"/>
      <c r="H86" s="34"/>
      <c r="I86" s="34"/>
      <c r="J86" s="34"/>
    </row>
    <row r="87" ht="15.75" customHeight="1">
      <c r="A87" s="35"/>
      <c r="B87" s="34"/>
      <c r="C87" s="34"/>
      <c r="D87" s="34"/>
      <c r="E87" s="34"/>
      <c r="F87" s="34"/>
      <c r="G87" s="34"/>
      <c r="H87" s="34"/>
      <c r="I87" s="34"/>
      <c r="J87" s="34"/>
    </row>
    <row r="88" ht="15.75" customHeight="1">
      <c r="A88" s="35"/>
      <c r="B88" s="34"/>
      <c r="C88" s="34"/>
      <c r="D88" s="34"/>
      <c r="E88" s="34"/>
      <c r="F88" s="34"/>
      <c r="G88" s="34"/>
      <c r="H88" s="34"/>
      <c r="I88" s="34"/>
      <c r="J88" s="34"/>
    </row>
    <row r="89" ht="15.75" customHeight="1">
      <c r="A89" s="35"/>
      <c r="B89" s="34"/>
      <c r="C89" s="34"/>
      <c r="D89" s="34"/>
      <c r="E89" s="34"/>
      <c r="F89" s="34"/>
      <c r="G89" s="34"/>
      <c r="H89" s="34"/>
      <c r="I89" s="34"/>
      <c r="J89" s="34"/>
    </row>
    <row r="90" ht="15.75" customHeight="1">
      <c r="A90" s="35"/>
      <c r="B90" s="34"/>
      <c r="C90" s="34"/>
      <c r="D90" s="34"/>
      <c r="E90" s="34"/>
      <c r="F90" s="34"/>
      <c r="G90" s="34"/>
      <c r="H90" s="34"/>
      <c r="I90" s="34"/>
      <c r="J90" s="34"/>
    </row>
    <row r="91" ht="15.75" customHeight="1">
      <c r="A91" s="35"/>
      <c r="B91" s="34"/>
      <c r="C91" s="34"/>
      <c r="D91" s="34"/>
      <c r="E91" s="34"/>
      <c r="F91" s="34"/>
      <c r="G91" s="34"/>
      <c r="H91" s="34"/>
      <c r="I91" s="34"/>
      <c r="J91" s="34"/>
    </row>
    <row r="92" ht="15.75" customHeight="1">
      <c r="A92" s="35"/>
      <c r="B92" s="34"/>
      <c r="C92" s="34"/>
      <c r="D92" s="34"/>
      <c r="E92" s="34"/>
      <c r="F92" s="34"/>
      <c r="G92" s="34"/>
      <c r="H92" s="34"/>
      <c r="I92" s="34"/>
      <c r="J92" s="34"/>
    </row>
    <row r="93" ht="15.75" customHeight="1">
      <c r="A93" s="35"/>
      <c r="B93" s="34"/>
      <c r="C93" s="34"/>
      <c r="D93" s="34"/>
      <c r="E93" s="34"/>
      <c r="F93" s="34"/>
      <c r="G93" s="34"/>
      <c r="H93" s="34"/>
      <c r="I93" s="34"/>
      <c r="J93" s="34"/>
    </row>
    <row r="94" ht="15.75" customHeight="1">
      <c r="A94" s="35"/>
      <c r="B94" s="34"/>
      <c r="C94" s="34"/>
      <c r="D94" s="34"/>
      <c r="E94" s="34"/>
      <c r="F94" s="34"/>
      <c r="G94" s="34"/>
      <c r="H94" s="34"/>
      <c r="I94" s="34"/>
      <c r="J94" s="34"/>
    </row>
    <row r="95" ht="15.75" customHeight="1">
      <c r="A95" s="35"/>
      <c r="B95" s="34"/>
      <c r="C95" s="34"/>
      <c r="D95" s="34"/>
      <c r="E95" s="34"/>
      <c r="F95" s="34"/>
      <c r="G95" s="34"/>
      <c r="H95" s="34"/>
      <c r="I95" s="34"/>
      <c r="J95" s="34"/>
    </row>
    <row r="96" ht="15.75" customHeight="1">
      <c r="A96" s="35"/>
      <c r="B96" s="34"/>
      <c r="C96" s="34"/>
      <c r="D96" s="34"/>
      <c r="E96" s="34"/>
      <c r="F96" s="34"/>
      <c r="G96" s="34"/>
      <c r="H96" s="34"/>
      <c r="I96" s="34"/>
      <c r="J96" s="34"/>
    </row>
    <row r="97" ht="15.75" customHeight="1">
      <c r="A97" s="35"/>
      <c r="B97" s="34"/>
      <c r="C97" s="34"/>
      <c r="D97" s="34"/>
      <c r="E97" s="34"/>
      <c r="F97" s="34"/>
      <c r="G97" s="34"/>
      <c r="H97" s="34"/>
      <c r="I97" s="34"/>
      <c r="J97" s="34"/>
    </row>
    <row r="98" ht="15.75" customHeight="1">
      <c r="A98" s="35"/>
      <c r="B98" s="34"/>
      <c r="C98" s="34"/>
      <c r="D98" s="34"/>
      <c r="E98" s="34"/>
      <c r="F98" s="34"/>
      <c r="G98" s="34"/>
      <c r="H98" s="34"/>
      <c r="I98" s="34"/>
      <c r="J98" s="34"/>
    </row>
    <row r="99" ht="15.75" customHeight="1">
      <c r="A99" s="35"/>
      <c r="B99" s="34"/>
      <c r="C99" s="34"/>
      <c r="D99" s="34"/>
      <c r="E99" s="34"/>
      <c r="F99" s="34"/>
      <c r="G99" s="34"/>
      <c r="H99" s="34"/>
      <c r="I99" s="34"/>
      <c r="J99" s="34"/>
    </row>
    <row r="100" ht="15.75" customHeight="1">
      <c r="A100" s="35"/>
      <c r="B100" s="34"/>
      <c r="C100" s="34"/>
      <c r="D100" s="34"/>
      <c r="E100" s="34"/>
      <c r="F100" s="34"/>
      <c r="G100" s="34"/>
      <c r="H100" s="34"/>
      <c r="I100" s="34"/>
      <c r="J100" s="34"/>
    </row>
    <row r="101" ht="15.75" customHeight="1">
      <c r="A101" s="35"/>
      <c r="B101" s="34"/>
      <c r="C101" s="34"/>
      <c r="D101" s="34"/>
      <c r="E101" s="34"/>
      <c r="F101" s="34"/>
      <c r="G101" s="34"/>
      <c r="H101" s="34"/>
      <c r="I101" s="34"/>
      <c r="J101" s="34"/>
    </row>
    <row r="102" ht="15.75" customHeight="1">
      <c r="A102" s="35"/>
      <c r="B102" s="34"/>
      <c r="C102" s="34"/>
      <c r="D102" s="34"/>
      <c r="E102" s="34"/>
      <c r="F102" s="34"/>
      <c r="G102" s="34"/>
      <c r="H102" s="34"/>
      <c r="I102" s="34"/>
      <c r="J102" s="34"/>
    </row>
    <row r="103" ht="15.75" customHeight="1">
      <c r="A103" s="35"/>
      <c r="B103" s="34"/>
      <c r="C103" s="34"/>
      <c r="D103" s="34"/>
      <c r="E103" s="34"/>
      <c r="F103" s="34"/>
      <c r="G103" s="34"/>
      <c r="H103" s="34"/>
      <c r="I103" s="34"/>
      <c r="J103" s="34"/>
    </row>
    <row r="104" ht="15.75" customHeight="1">
      <c r="A104" s="35"/>
      <c r="B104" s="34"/>
      <c r="C104" s="34"/>
      <c r="D104" s="34"/>
      <c r="E104" s="34"/>
      <c r="F104" s="34"/>
      <c r="G104" s="34"/>
      <c r="H104" s="34"/>
      <c r="I104" s="34"/>
      <c r="J104" s="34"/>
    </row>
    <row r="105" ht="15.75" customHeight="1">
      <c r="A105" s="35"/>
      <c r="B105" s="34"/>
      <c r="C105" s="34"/>
      <c r="D105" s="34"/>
      <c r="E105" s="34"/>
      <c r="F105" s="34"/>
      <c r="G105" s="34"/>
      <c r="H105" s="34"/>
      <c r="I105" s="34"/>
      <c r="J105" s="34"/>
    </row>
    <row r="106" ht="15.75" customHeight="1">
      <c r="A106" s="35"/>
      <c r="B106" s="34"/>
      <c r="C106" s="34"/>
      <c r="D106" s="34"/>
      <c r="E106" s="34"/>
      <c r="F106" s="34"/>
      <c r="G106" s="34"/>
      <c r="H106" s="34"/>
      <c r="I106" s="34"/>
      <c r="J106" s="34"/>
    </row>
    <row r="107" ht="15.75" customHeight="1">
      <c r="A107" s="35"/>
      <c r="B107" s="34"/>
      <c r="C107" s="34"/>
      <c r="D107" s="34"/>
      <c r="E107" s="34"/>
      <c r="F107" s="34"/>
      <c r="G107" s="34"/>
      <c r="H107" s="34"/>
      <c r="I107" s="34"/>
      <c r="J107" s="34"/>
    </row>
    <row r="108" ht="15.75" customHeight="1">
      <c r="A108" s="35"/>
      <c r="B108" s="34"/>
      <c r="C108" s="34"/>
      <c r="D108" s="34"/>
      <c r="E108" s="34"/>
      <c r="F108" s="34"/>
      <c r="G108" s="34"/>
      <c r="H108" s="34"/>
      <c r="I108" s="34"/>
      <c r="J108" s="34"/>
    </row>
    <row r="109" ht="15.75" customHeight="1">
      <c r="A109" s="35"/>
      <c r="B109" s="34"/>
      <c r="C109" s="34"/>
      <c r="D109" s="34"/>
      <c r="E109" s="34"/>
      <c r="F109" s="34"/>
      <c r="G109" s="34"/>
      <c r="H109" s="34"/>
      <c r="I109" s="34"/>
      <c r="J109" s="34"/>
    </row>
    <row r="110" ht="15.75" customHeight="1">
      <c r="A110" s="35"/>
      <c r="B110" s="34"/>
      <c r="C110" s="34"/>
      <c r="D110" s="34"/>
      <c r="E110" s="34"/>
      <c r="F110" s="34"/>
      <c r="G110" s="34"/>
      <c r="H110" s="34"/>
      <c r="I110" s="34"/>
      <c r="J110" s="34"/>
    </row>
    <row r="111" ht="15.75" customHeight="1">
      <c r="A111" s="35"/>
      <c r="B111" s="34"/>
      <c r="C111" s="34"/>
      <c r="D111" s="34"/>
      <c r="E111" s="34"/>
      <c r="F111" s="34"/>
      <c r="G111" s="34"/>
      <c r="H111" s="34"/>
      <c r="I111" s="34"/>
      <c r="J111" s="34"/>
    </row>
    <row r="112" ht="15.75" customHeight="1">
      <c r="A112" s="35"/>
      <c r="B112" s="34"/>
      <c r="C112" s="34"/>
      <c r="D112" s="34"/>
      <c r="E112" s="34"/>
      <c r="F112" s="34"/>
      <c r="G112" s="34"/>
      <c r="H112" s="34"/>
      <c r="I112" s="34"/>
      <c r="J112" s="34"/>
    </row>
    <row r="113" ht="15.75" customHeight="1">
      <c r="A113" s="35"/>
      <c r="B113" s="34"/>
      <c r="C113" s="34"/>
      <c r="D113" s="34"/>
      <c r="E113" s="34"/>
      <c r="F113" s="34"/>
      <c r="G113" s="34"/>
      <c r="H113" s="34"/>
      <c r="I113" s="34"/>
      <c r="J113" s="34"/>
    </row>
    <row r="114" ht="15.75" customHeight="1">
      <c r="A114" s="35"/>
      <c r="B114" s="34"/>
      <c r="C114" s="34"/>
      <c r="D114" s="34"/>
      <c r="E114" s="34"/>
      <c r="F114" s="34"/>
      <c r="G114" s="34"/>
      <c r="H114" s="34"/>
      <c r="I114" s="34"/>
      <c r="J114" s="34"/>
    </row>
    <row r="115" ht="15.75" customHeight="1">
      <c r="A115" s="35"/>
      <c r="B115" s="34"/>
      <c r="C115" s="34"/>
      <c r="D115" s="34"/>
      <c r="E115" s="34"/>
      <c r="F115" s="34"/>
      <c r="G115" s="34"/>
      <c r="H115" s="34"/>
      <c r="I115" s="34"/>
      <c r="J115" s="34"/>
    </row>
    <row r="116" ht="15.75" customHeight="1">
      <c r="A116" s="35"/>
      <c r="B116" s="34"/>
      <c r="C116" s="34"/>
      <c r="D116" s="34"/>
      <c r="E116" s="34"/>
      <c r="F116" s="34"/>
      <c r="G116" s="34"/>
      <c r="H116" s="34"/>
      <c r="I116" s="34"/>
      <c r="J116" s="34"/>
    </row>
    <row r="117" ht="15.75" customHeight="1">
      <c r="A117" s="35"/>
      <c r="B117" s="34"/>
      <c r="C117" s="34"/>
      <c r="D117" s="34"/>
      <c r="E117" s="34"/>
      <c r="F117" s="34"/>
      <c r="G117" s="34"/>
      <c r="H117" s="34"/>
      <c r="I117" s="34"/>
      <c r="J117" s="34"/>
    </row>
    <row r="118" ht="15.75" customHeight="1">
      <c r="A118" s="35"/>
      <c r="B118" s="34"/>
      <c r="C118" s="34"/>
      <c r="D118" s="34"/>
      <c r="E118" s="34"/>
      <c r="F118" s="34"/>
      <c r="G118" s="34"/>
      <c r="H118" s="34"/>
      <c r="I118" s="34"/>
      <c r="J118" s="34"/>
    </row>
    <row r="119" ht="15.75" customHeight="1">
      <c r="A119" s="35"/>
      <c r="B119" s="34"/>
      <c r="C119" s="34"/>
      <c r="D119" s="34"/>
      <c r="E119" s="34"/>
      <c r="F119" s="34"/>
      <c r="G119" s="34"/>
      <c r="H119" s="34"/>
      <c r="I119" s="34"/>
      <c r="J119" s="34"/>
    </row>
    <row r="120" ht="15.75" customHeight="1">
      <c r="A120" s="35"/>
      <c r="B120" s="34"/>
      <c r="C120" s="34"/>
      <c r="D120" s="34"/>
      <c r="E120" s="34"/>
      <c r="F120" s="34"/>
      <c r="G120" s="34"/>
      <c r="H120" s="34"/>
      <c r="I120" s="34"/>
      <c r="J120" s="34"/>
    </row>
    <row r="121" ht="15.75" customHeight="1">
      <c r="A121" s="35"/>
      <c r="B121" s="34"/>
      <c r="C121" s="34"/>
      <c r="D121" s="34"/>
      <c r="E121" s="34"/>
      <c r="F121" s="34"/>
      <c r="G121" s="34"/>
      <c r="H121" s="34"/>
      <c r="I121" s="34"/>
      <c r="J121" s="34"/>
    </row>
    <row r="122" ht="15.75" customHeight="1">
      <c r="A122" s="35"/>
      <c r="B122" s="34"/>
      <c r="C122" s="34"/>
      <c r="D122" s="34"/>
      <c r="E122" s="34"/>
      <c r="F122" s="34"/>
      <c r="G122" s="34"/>
      <c r="H122" s="34"/>
      <c r="I122" s="34"/>
      <c r="J122" s="34"/>
    </row>
    <row r="123" ht="15.75" customHeight="1">
      <c r="A123" s="35"/>
      <c r="B123" s="34"/>
      <c r="C123" s="34"/>
      <c r="D123" s="34"/>
      <c r="E123" s="34"/>
      <c r="F123" s="34"/>
      <c r="G123" s="34"/>
      <c r="H123" s="34"/>
      <c r="I123" s="34"/>
      <c r="J123" s="34"/>
    </row>
    <row r="124" ht="15.75" customHeight="1">
      <c r="A124" s="35"/>
      <c r="B124" s="34"/>
      <c r="C124" s="34"/>
      <c r="D124" s="34"/>
      <c r="E124" s="34"/>
      <c r="F124" s="34"/>
      <c r="G124" s="34"/>
      <c r="H124" s="34"/>
      <c r="I124" s="34"/>
      <c r="J124" s="34"/>
    </row>
    <row r="125" ht="15.75" customHeight="1">
      <c r="A125" s="35"/>
      <c r="B125" s="34"/>
      <c r="C125" s="34"/>
      <c r="D125" s="34"/>
      <c r="E125" s="34"/>
      <c r="F125" s="34"/>
      <c r="G125" s="34"/>
      <c r="H125" s="34"/>
      <c r="I125" s="34"/>
      <c r="J125" s="34"/>
    </row>
    <row r="126" ht="15.75" customHeight="1">
      <c r="A126" s="35"/>
      <c r="B126" s="34"/>
      <c r="C126" s="34"/>
      <c r="D126" s="34"/>
      <c r="E126" s="34"/>
      <c r="F126" s="34"/>
      <c r="G126" s="34"/>
      <c r="H126" s="34"/>
      <c r="I126" s="34"/>
      <c r="J126" s="34"/>
    </row>
    <row r="127" ht="15.75" customHeight="1">
      <c r="A127" s="35"/>
      <c r="B127" s="34"/>
      <c r="C127" s="34"/>
      <c r="D127" s="34"/>
      <c r="E127" s="34"/>
      <c r="F127" s="34"/>
      <c r="G127" s="34"/>
      <c r="H127" s="34"/>
      <c r="I127" s="34"/>
      <c r="J127" s="34"/>
    </row>
    <row r="128" ht="15.75" customHeight="1">
      <c r="A128" s="35"/>
      <c r="B128" s="34"/>
      <c r="C128" s="34"/>
      <c r="D128" s="34"/>
      <c r="E128" s="34"/>
      <c r="F128" s="34"/>
      <c r="G128" s="34"/>
      <c r="H128" s="34"/>
      <c r="I128" s="34"/>
      <c r="J128" s="34"/>
    </row>
    <row r="129" ht="15.75" customHeight="1">
      <c r="A129" s="35"/>
      <c r="B129" s="34"/>
      <c r="C129" s="34"/>
      <c r="D129" s="34"/>
      <c r="E129" s="34"/>
      <c r="F129" s="34"/>
      <c r="G129" s="34"/>
      <c r="H129" s="34"/>
      <c r="I129" s="34"/>
      <c r="J129" s="34"/>
    </row>
    <row r="130" ht="15.75" customHeight="1">
      <c r="A130" s="35"/>
      <c r="B130" s="34"/>
      <c r="C130" s="34"/>
      <c r="D130" s="34"/>
      <c r="E130" s="34"/>
      <c r="F130" s="34"/>
      <c r="G130" s="34"/>
      <c r="H130" s="34"/>
      <c r="I130" s="34"/>
      <c r="J130" s="34"/>
    </row>
    <row r="131" ht="15.75" customHeight="1">
      <c r="A131" s="35"/>
      <c r="B131" s="34"/>
      <c r="C131" s="34"/>
      <c r="D131" s="34"/>
      <c r="E131" s="34"/>
      <c r="F131" s="34"/>
      <c r="G131" s="34"/>
      <c r="H131" s="34"/>
      <c r="I131" s="34"/>
      <c r="J131" s="34"/>
    </row>
    <row r="132" ht="15.75" customHeight="1">
      <c r="A132" s="35"/>
      <c r="B132" s="34"/>
      <c r="C132" s="34"/>
      <c r="D132" s="34"/>
      <c r="E132" s="34"/>
      <c r="F132" s="34"/>
      <c r="G132" s="34"/>
      <c r="H132" s="34"/>
      <c r="I132" s="34"/>
      <c r="J132" s="34"/>
    </row>
    <row r="133" ht="15.75" customHeight="1">
      <c r="A133" s="35"/>
      <c r="B133" s="34"/>
      <c r="C133" s="34"/>
      <c r="D133" s="34"/>
      <c r="E133" s="34"/>
      <c r="F133" s="34"/>
      <c r="G133" s="34"/>
      <c r="H133" s="34"/>
      <c r="I133" s="34"/>
      <c r="J133" s="34"/>
    </row>
    <row r="134" ht="15.75" customHeight="1">
      <c r="A134" s="35"/>
      <c r="B134" s="34"/>
      <c r="C134" s="34"/>
      <c r="D134" s="34"/>
      <c r="E134" s="34"/>
      <c r="F134" s="34"/>
      <c r="G134" s="34"/>
      <c r="H134" s="34"/>
      <c r="I134" s="34"/>
      <c r="J134" s="34"/>
    </row>
    <row r="135" ht="15.75" customHeight="1">
      <c r="A135" s="35"/>
      <c r="B135" s="34"/>
      <c r="C135" s="34"/>
      <c r="D135" s="34"/>
      <c r="E135" s="34"/>
      <c r="F135" s="34"/>
      <c r="G135" s="34"/>
      <c r="H135" s="34"/>
      <c r="I135" s="34"/>
      <c r="J135" s="34"/>
    </row>
    <row r="136" ht="15.75" customHeight="1">
      <c r="A136" s="35"/>
      <c r="B136" s="34"/>
      <c r="C136" s="34"/>
      <c r="D136" s="34"/>
      <c r="E136" s="34"/>
      <c r="F136" s="34"/>
      <c r="G136" s="34"/>
      <c r="H136" s="34"/>
      <c r="I136" s="34"/>
      <c r="J136" s="34"/>
    </row>
    <row r="137" ht="15.75" customHeight="1">
      <c r="A137" s="35"/>
      <c r="B137" s="34"/>
      <c r="C137" s="34"/>
      <c r="D137" s="34"/>
      <c r="E137" s="34"/>
      <c r="F137" s="34"/>
      <c r="G137" s="34"/>
      <c r="H137" s="34"/>
      <c r="I137" s="34"/>
      <c r="J137" s="34"/>
    </row>
    <row r="138" ht="15.75" customHeight="1">
      <c r="A138" s="35"/>
      <c r="B138" s="34"/>
      <c r="C138" s="34"/>
      <c r="D138" s="34"/>
      <c r="E138" s="34"/>
      <c r="F138" s="34"/>
      <c r="G138" s="34"/>
      <c r="H138" s="34"/>
      <c r="I138" s="34"/>
      <c r="J138" s="34"/>
    </row>
    <row r="139" ht="15.75" customHeight="1">
      <c r="A139" s="35"/>
      <c r="B139" s="34"/>
      <c r="C139" s="34"/>
      <c r="D139" s="34"/>
      <c r="E139" s="34"/>
      <c r="F139" s="34"/>
      <c r="G139" s="34"/>
      <c r="H139" s="34"/>
      <c r="I139" s="34"/>
      <c r="J139" s="34"/>
    </row>
    <row r="140" ht="15.75" customHeight="1">
      <c r="A140" s="35"/>
      <c r="B140" s="34"/>
      <c r="C140" s="34"/>
      <c r="D140" s="34"/>
      <c r="E140" s="34"/>
      <c r="F140" s="34"/>
      <c r="G140" s="34"/>
      <c r="H140" s="34"/>
      <c r="I140" s="34"/>
      <c r="J140" s="34"/>
    </row>
    <row r="141" ht="15.75" customHeight="1">
      <c r="A141" s="35"/>
      <c r="B141" s="34"/>
      <c r="C141" s="34"/>
      <c r="D141" s="34"/>
      <c r="E141" s="34"/>
      <c r="F141" s="34"/>
      <c r="G141" s="34"/>
      <c r="H141" s="34"/>
      <c r="I141" s="34"/>
      <c r="J141" s="34"/>
    </row>
    <row r="142" ht="15.75" customHeight="1">
      <c r="A142" s="35"/>
      <c r="B142" s="34"/>
      <c r="C142" s="34"/>
      <c r="D142" s="34"/>
      <c r="E142" s="34"/>
      <c r="F142" s="34"/>
      <c r="G142" s="34"/>
      <c r="H142" s="34"/>
      <c r="I142" s="34"/>
      <c r="J142" s="34"/>
    </row>
    <row r="143" ht="15.75" customHeight="1">
      <c r="A143" s="35"/>
      <c r="B143" s="34"/>
      <c r="C143" s="34"/>
      <c r="D143" s="34"/>
      <c r="E143" s="34"/>
      <c r="F143" s="34"/>
      <c r="G143" s="34"/>
      <c r="H143" s="34"/>
      <c r="I143" s="34"/>
      <c r="J143" s="34"/>
    </row>
    <row r="144" ht="15.75" customHeight="1">
      <c r="A144" s="35"/>
      <c r="B144" s="34"/>
      <c r="C144" s="34"/>
      <c r="D144" s="34"/>
      <c r="E144" s="34"/>
      <c r="F144" s="34"/>
      <c r="G144" s="34"/>
      <c r="H144" s="34"/>
      <c r="I144" s="34"/>
      <c r="J144" s="34"/>
    </row>
    <row r="145" ht="15.75" customHeight="1">
      <c r="A145" s="35"/>
      <c r="B145" s="34"/>
      <c r="C145" s="34"/>
      <c r="D145" s="34"/>
      <c r="E145" s="34"/>
      <c r="F145" s="34"/>
      <c r="G145" s="34"/>
      <c r="H145" s="34"/>
      <c r="I145" s="34"/>
      <c r="J145" s="34"/>
    </row>
    <row r="146" ht="15.75" customHeight="1">
      <c r="A146" s="35"/>
      <c r="B146" s="34"/>
      <c r="C146" s="34"/>
      <c r="D146" s="34"/>
      <c r="E146" s="34"/>
      <c r="F146" s="34"/>
      <c r="G146" s="34"/>
      <c r="H146" s="34"/>
      <c r="I146" s="34"/>
      <c r="J146" s="34"/>
    </row>
    <row r="147" ht="15.75" customHeight="1">
      <c r="A147" s="35"/>
      <c r="B147" s="34"/>
      <c r="C147" s="34"/>
      <c r="D147" s="34"/>
      <c r="E147" s="34"/>
      <c r="F147" s="34"/>
      <c r="G147" s="34"/>
      <c r="H147" s="34"/>
      <c r="I147" s="34"/>
      <c r="J147" s="34"/>
    </row>
    <row r="148" ht="15.75" customHeight="1">
      <c r="A148" s="35"/>
      <c r="B148" s="34"/>
      <c r="C148" s="34"/>
      <c r="D148" s="34"/>
      <c r="E148" s="34"/>
      <c r="F148" s="34"/>
      <c r="G148" s="34"/>
      <c r="H148" s="34"/>
      <c r="I148" s="34"/>
      <c r="J148" s="34"/>
    </row>
    <row r="149" ht="15.75" customHeight="1">
      <c r="A149" s="35"/>
      <c r="B149" s="34"/>
      <c r="C149" s="34"/>
      <c r="D149" s="34"/>
      <c r="E149" s="34"/>
      <c r="F149" s="34"/>
      <c r="G149" s="34"/>
      <c r="H149" s="34"/>
      <c r="I149" s="34"/>
      <c r="J149" s="34"/>
    </row>
    <row r="150" ht="15.75" customHeight="1">
      <c r="A150" s="35"/>
      <c r="B150" s="34"/>
      <c r="C150" s="34"/>
      <c r="D150" s="34"/>
      <c r="E150" s="34"/>
      <c r="F150" s="34"/>
      <c r="G150" s="34"/>
      <c r="H150" s="34"/>
      <c r="I150" s="34"/>
      <c r="J150" s="34"/>
    </row>
    <row r="151" ht="15.75" customHeight="1">
      <c r="A151" s="35"/>
      <c r="B151" s="34"/>
      <c r="C151" s="34"/>
      <c r="D151" s="34"/>
      <c r="E151" s="34"/>
      <c r="F151" s="34"/>
      <c r="G151" s="34"/>
      <c r="H151" s="34"/>
      <c r="I151" s="34"/>
      <c r="J151" s="34"/>
    </row>
    <row r="152" ht="15.75" customHeight="1">
      <c r="A152" s="35"/>
      <c r="B152" s="34"/>
      <c r="C152" s="34"/>
      <c r="D152" s="34"/>
      <c r="E152" s="34"/>
      <c r="F152" s="34"/>
      <c r="G152" s="34"/>
      <c r="H152" s="34"/>
      <c r="I152" s="34"/>
      <c r="J152" s="34"/>
    </row>
    <row r="153" ht="15.75" customHeight="1">
      <c r="A153" s="35"/>
      <c r="B153" s="34"/>
      <c r="C153" s="34"/>
      <c r="D153" s="34"/>
      <c r="E153" s="34"/>
      <c r="F153" s="34"/>
      <c r="G153" s="34"/>
      <c r="H153" s="34"/>
      <c r="I153" s="34"/>
      <c r="J153" s="34"/>
    </row>
    <row r="154" ht="15.75" customHeight="1">
      <c r="A154" s="35"/>
      <c r="B154" s="34"/>
      <c r="C154" s="34"/>
      <c r="D154" s="34"/>
      <c r="E154" s="34"/>
      <c r="F154" s="34"/>
      <c r="G154" s="34"/>
      <c r="H154" s="34"/>
      <c r="I154" s="34"/>
      <c r="J154" s="34"/>
    </row>
    <row r="155" ht="15.75" customHeight="1">
      <c r="A155" s="35"/>
      <c r="B155" s="34"/>
      <c r="C155" s="34"/>
      <c r="D155" s="34"/>
      <c r="E155" s="34"/>
      <c r="F155" s="34"/>
      <c r="G155" s="34"/>
      <c r="H155" s="34"/>
      <c r="I155" s="34"/>
      <c r="J155" s="34"/>
    </row>
    <row r="156" ht="15.75" customHeight="1">
      <c r="A156" s="35"/>
      <c r="B156" s="34"/>
      <c r="C156" s="34"/>
      <c r="D156" s="34"/>
      <c r="E156" s="34"/>
      <c r="F156" s="34"/>
      <c r="G156" s="34"/>
      <c r="H156" s="34"/>
      <c r="I156" s="34"/>
      <c r="J156" s="34"/>
    </row>
    <row r="157" ht="15.75" customHeight="1">
      <c r="A157" s="35"/>
      <c r="B157" s="34"/>
      <c r="C157" s="34"/>
      <c r="D157" s="34"/>
      <c r="E157" s="34"/>
      <c r="F157" s="34"/>
      <c r="G157" s="34"/>
      <c r="H157" s="34"/>
      <c r="I157" s="34"/>
      <c r="J157" s="34"/>
    </row>
    <row r="158" ht="15.75" customHeight="1">
      <c r="A158" s="35"/>
      <c r="B158" s="34"/>
      <c r="C158" s="34"/>
      <c r="D158" s="34"/>
      <c r="E158" s="34"/>
      <c r="F158" s="34"/>
      <c r="G158" s="34"/>
      <c r="H158" s="34"/>
      <c r="I158" s="34"/>
      <c r="J158" s="34"/>
    </row>
    <row r="159" ht="15.75" customHeight="1">
      <c r="A159" s="35"/>
      <c r="B159" s="34"/>
      <c r="C159" s="34"/>
      <c r="D159" s="34"/>
      <c r="E159" s="34"/>
      <c r="F159" s="34"/>
      <c r="G159" s="34"/>
      <c r="H159" s="34"/>
      <c r="I159" s="34"/>
      <c r="J159" s="34"/>
    </row>
    <row r="160" ht="15.75" customHeight="1">
      <c r="A160" s="35"/>
      <c r="B160" s="34"/>
      <c r="C160" s="34"/>
      <c r="D160" s="34"/>
      <c r="E160" s="34"/>
      <c r="F160" s="34"/>
      <c r="G160" s="34"/>
      <c r="H160" s="34"/>
      <c r="I160" s="34"/>
      <c r="J160" s="34"/>
    </row>
    <row r="161" ht="15.75" customHeight="1">
      <c r="A161" s="35"/>
      <c r="B161" s="34"/>
      <c r="C161" s="34"/>
      <c r="D161" s="34"/>
      <c r="E161" s="34"/>
      <c r="F161" s="34"/>
      <c r="G161" s="34"/>
      <c r="H161" s="34"/>
      <c r="I161" s="34"/>
      <c r="J161" s="34"/>
    </row>
    <row r="162" ht="15.75" customHeight="1">
      <c r="A162" s="35"/>
      <c r="B162" s="34"/>
      <c r="C162" s="34"/>
      <c r="D162" s="34"/>
      <c r="E162" s="34"/>
      <c r="F162" s="34"/>
      <c r="G162" s="34"/>
      <c r="H162" s="34"/>
      <c r="I162" s="34"/>
      <c r="J162" s="34"/>
    </row>
    <row r="163" ht="15.75" customHeight="1">
      <c r="A163" s="35"/>
      <c r="B163" s="34"/>
      <c r="C163" s="34"/>
      <c r="D163" s="34"/>
      <c r="E163" s="34"/>
      <c r="F163" s="34"/>
      <c r="G163" s="34"/>
      <c r="H163" s="34"/>
      <c r="I163" s="34"/>
      <c r="J163" s="34"/>
    </row>
    <row r="164" ht="15.75" customHeight="1">
      <c r="A164" s="35"/>
      <c r="B164" s="34"/>
      <c r="C164" s="34"/>
      <c r="D164" s="34"/>
      <c r="E164" s="34"/>
      <c r="F164" s="34"/>
      <c r="G164" s="34"/>
      <c r="H164" s="34"/>
      <c r="I164" s="34"/>
      <c r="J164" s="34"/>
    </row>
    <row r="165" ht="15.75" customHeight="1">
      <c r="A165" s="35"/>
      <c r="B165" s="34"/>
      <c r="C165" s="34"/>
      <c r="D165" s="34"/>
      <c r="E165" s="34"/>
      <c r="F165" s="34"/>
      <c r="G165" s="34"/>
      <c r="H165" s="34"/>
      <c r="I165" s="34"/>
      <c r="J165" s="34"/>
    </row>
    <row r="166" ht="15.75" customHeight="1">
      <c r="A166" s="35"/>
      <c r="B166" s="34"/>
      <c r="C166" s="34"/>
      <c r="D166" s="34"/>
      <c r="E166" s="34"/>
      <c r="F166" s="34"/>
      <c r="G166" s="34"/>
      <c r="H166" s="34"/>
      <c r="I166" s="34"/>
      <c r="J166" s="34"/>
    </row>
    <row r="167" ht="15.75" customHeight="1">
      <c r="A167" s="35"/>
      <c r="B167" s="34"/>
      <c r="C167" s="34"/>
      <c r="D167" s="34"/>
      <c r="E167" s="34"/>
      <c r="F167" s="34"/>
      <c r="G167" s="34"/>
      <c r="H167" s="34"/>
      <c r="I167" s="34"/>
      <c r="J167" s="34"/>
    </row>
    <row r="168" ht="15.75" customHeight="1">
      <c r="A168" s="35"/>
      <c r="B168" s="34"/>
      <c r="C168" s="34"/>
      <c r="D168" s="34"/>
      <c r="E168" s="34"/>
      <c r="F168" s="34"/>
      <c r="G168" s="34"/>
      <c r="H168" s="34"/>
      <c r="I168" s="34"/>
      <c r="J168" s="34"/>
    </row>
    <row r="169" ht="15.75" customHeight="1">
      <c r="A169" s="35"/>
      <c r="B169" s="34"/>
      <c r="C169" s="34"/>
      <c r="D169" s="34"/>
      <c r="E169" s="34"/>
      <c r="F169" s="34"/>
      <c r="G169" s="34"/>
      <c r="H169" s="34"/>
      <c r="I169" s="34"/>
      <c r="J169" s="34"/>
    </row>
    <row r="170" ht="15.75" customHeight="1">
      <c r="A170" s="35"/>
      <c r="B170" s="34"/>
      <c r="C170" s="34"/>
      <c r="D170" s="34"/>
      <c r="E170" s="34"/>
      <c r="F170" s="34"/>
      <c r="G170" s="34"/>
      <c r="H170" s="34"/>
      <c r="I170" s="34"/>
      <c r="J170" s="34"/>
    </row>
    <row r="171" ht="15.75" customHeight="1">
      <c r="A171" s="35"/>
      <c r="B171" s="34"/>
      <c r="C171" s="34"/>
      <c r="D171" s="34"/>
      <c r="E171" s="34"/>
      <c r="F171" s="34"/>
      <c r="G171" s="34"/>
      <c r="H171" s="34"/>
      <c r="I171" s="34"/>
      <c r="J171" s="34"/>
    </row>
    <row r="172" ht="15.75" customHeight="1">
      <c r="A172" s="35"/>
      <c r="B172" s="34"/>
      <c r="C172" s="34"/>
      <c r="D172" s="34"/>
      <c r="E172" s="34"/>
      <c r="F172" s="34"/>
      <c r="G172" s="34"/>
      <c r="H172" s="34"/>
      <c r="I172" s="34"/>
      <c r="J172" s="34"/>
    </row>
    <row r="173" ht="15.75" customHeight="1">
      <c r="A173" s="35"/>
      <c r="B173" s="34"/>
      <c r="C173" s="34"/>
      <c r="D173" s="34"/>
      <c r="E173" s="34"/>
      <c r="F173" s="34"/>
      <c r="G173" s="34"/>
      <c r="H173" s="34"/>
      <c r="I173" s="34"/>
      <c r="J173" s="34"/>
    </row>
    <row r="174" ht="15.75" customHeight="1">
      <c r="A174" s="35"/>
      <c r="B174" s="34"/>
      <c r="C174" s="34"/>
      <c r="D174" s="34"/>
      <c r="E174" s="34"/>
      <c r="F174" s="34"/>
      <c r="G174" s="34"/>
      <c r="H174" s="34"/>
      <c r="I174" s="34"/>
      <c r="J174" s="34"/>
    </row>
    <row r="175" ht="15.75" customHeight="1">
      <c r="A175" s="35"/>
      <c r="B175" s="34"/>
      <c r="C175" s="34"/>
      <c r="D175" s="34"/>
      <c r="E175" s="34"/>
      <c r="F175" s="34"/>
      <c r="G175" s="34"/>
      <c r="H175" s="34"/>
      <c r="I175" s="34"/>
      <c r="J175" s="34"/>
    </row>
    <row r="176" ht="15.75" customHeight="1">
      <c r="A176" s="35"/>
      <c r="B176" s="34"/>
      <c r="C176" s="34"/>
      <c r="D176" s="34"/>
      <c r="E176" s="34"/>
      <c r="F176" s="34"/>
      <c r="G176" s="34"/>
      <c r="H176" s="34"/>
      <c r="I176" s="34"/>
      <c r="J176" s="34"/>
    </row>
    <row r="177" ht="15.75" customHeight="1">
      <c r="A177" s="35"/>
      <c r="B177" s="34"/>
      <c r="C177" s="34"/>
      <c r="D177" s="34"/>
      <c r="E177" s="34"/>
      <c r="F177" s="34"/>
      <c r="G177" s="34"/>
      <c r="H177" s="34"/>
      <c r="I177" s="34"/>
      <c r="J177" s="34"/>
    </row>
    <row r="178" ht="15.75" customHeight="1">
      <c r="A178" s="35"/>
      <c r="B178" s="34"/>
      <c r="C178" s="34"/>
      <c r="D178" s="34"/>
      <c r="E178" s="34"/>
      <c r="F178" s="34"/>
      <c r="G178" s="34"/>
      <c r="H178" s="34"/>
      <c r="I178" s="34"/>
      <c r="J178" s="34"/>
    </row>
    <row r="179" ht="15.75" customHeight="1">
      <c r="A179" s="35"/>
      <c r="B179" s="34"/>
      <c r="C179" s="34"/>
      <c r="D179" s="34"/>
      <c r="E179" s="34"/>
      <c r="F179" s="34"/>
      <c r="G179" s="34"/>
      <c r="H179" s="34"/>
      <c r="I179" s="34"/>
      <c r="J179" s="34"/>
    </row>
    <row r="180" ht="15.75" customHeight="1">
      <c r="A180" s="35"/>
      <c r="B180" s="34"/>
      <c r="C180" s="34"/>
      <c r="D180" s="34"/>
      <c r="E180" s="34"/>
      <c r="F180" s="34"/>
      <c r="G180" s="34"/>
      <c r="H180" s="34"/>
      <c r="I180" s="34"/>
      <c r="J180" s="34"/>
    </row>
    <row r="181" ht="15.75" customHeight="1">
      <c r="A181" s="35"/>
      <c r="B181" s="34"/>
      <c r="C181" s="34"/>
      <c r="D181" s="34"/>
      <c r="E181" s="34"/>
      <c r="F181" s="34"/>
      <c r="G181" s="34"/>
      <c r="H181" s="34"/>
      <c r="I181" s="34"/>
      <c r="J181" s="34"/>
    </row>
    <row r="182" ht="15.75" customHeight="1">
      <c r="A182" s="35"/>
      <c r="B182" s="34"/>
      <c r="C182" s="34"/>
      <c r="D182" s="34"/>
      <c r="E182" s="34"/>
      <c r="F182" s="34"/>
      <c r="G182" s="34"/>
      <c r="H182" s="34"/>
      <c r="I182" s="34"/>
      <c r="J182" s="34"/>
    </row>
    <row r="183" ht="15.75" customHeight="1">
      <c r="A183" s="35"/>
      <c r="B183" s="34"/>
      <c r="C183" s="34"/>
      <c r="D183" s="34"/>
      <c r="E183" s="34"/>
      <c r="F183" s="34"/>
      <c r="G183" s="34"/>
      <c r="H183" s="34"/>
      <c r="I183" s="34"/>
      <c r="J183" s="34"/>
    </row>
    <row r="184" ht="15.75" customHeight="1">
      <c r="A184" s="35"/>
      <c r="B184" s="34"/>
      <c r="C184" s="34"/>
      <c r="D184" s="34"/>
      <c r="E184" s="34"/>
      <c r="F184" s="34"/>
      <c r="G184" s="34"/>
      <c r="H184" s="34"/>
      <c r="I184" s="34"/>
      <c r="J184" s="34"/>
    </row>
    <row r="185" ht="15.75" customHeight="1">
      <c r="A185" s="35"/>
      <c r="B185" s="34"/>
      <c r="C185" s="34"/>
      <c r="D185" s="34"/>
      <c r="E185" s="34"/>
      <c r="F185" s="34"/>
      <c r="G185" s="34"/>
      <c r="H185" s="34"/>
      <c r="I185" s="34"/>
      <c r="J185" s="34"/>
    </row>
    <row r="186" ht="15.75" customHeight="1">
      <c r="A186" s="35"/>
      <c r="B186" s="34"/>
      <c r="C186" s="34"/>
      <c r="D186" s="34"/>
      <c r="E186" s="34"/>
      <c r="F186" s="34"/>
      <c r="G186" s="34"/>
      <c r="H186" s="34"/>
      <c r="I186" s="34"/>
      <c r="J186" s="34"/>
    </row>
    <row r="187" ht="15.75" customHeight="1">
      <c r="A187" s="35"/>
      <c r="B187" s="34"/>
      <c r="C187" s="34"/>
      <c r="D187" s="34"/>
      <c r="E187" s="34"/>
      <c r="F187" s="34"/>
      <c r="G187" s="34"/>
      <c r="H187" s="34"/>
      <c r="I187" s="34"/>
      <c r="J187" s="34"/>
    </row>
    <row r="188" ht="15.75" customHeight="1">
      <c r="A188" s="35"/>
      <c r="B188" s="34"/>
      <c r="C188" s="34"/>
      <c r="D188" s="34"/>
      <c r="E188" s="34"/>
      <c r="F188" s="34"/>
      <c r="G188" s="34"/>
      <c r="H188" s="34"/>
      <c r="I188" s="34"/>
      <c r="J188" s="34"/>
    </row>
    <row r="189" ht="15.75" customHeight="1">
      <c r="A189" s="35"/>
      <c r="B189" s="34"/>
      <c r="C189" s="34"/>
      <c r="D189" s="34"/>
      <c r="E189" s="34"/>
      <c r="F189" s="34"/>
      <c r="G189" s="34"/>
      <c r="H189" s="34"/>
      <c r="I189" s="34"/>
      <c r="J189" s="34"/>
    </row>
    <row r="190" ht="15.75" customHeight="1">
      <c r="A190" s="35"/>
    </row>
    <row r="191" ht="15.75" customHeight="1">
      <c r="A191" s="35"/>
    </row>
    <row r="192" ht="15.75" customHeight="1">
      <c r="A192" s="35"/>
    </row>
    <row r="193" ht="15.75" customHeight="1">
      <c r="A193" s="35"/>
    </row>
    <row r="194" ht="15.75" customHeight="1">
      <c r="A194" s="35"/>
    </row>
    <row r="195" ht="15.75" customHeight="1">
      <c r="A195" s="35"/>
    </row>
    <row r="196" ht="15.75" customHeight="1">
      <c r="A196" s="35"/>
    </row>
    <row r="197" ht="15.75" customHeight="1">
      <c r="A197" s="35"/>
    </row>
    <row r="198" ht="15.75" customHeight="1">
      <c r="A198" s="35"/>
    </row>
    <row r="199" ht="15.75" customHeight="1">
      <c r="A199" s="35"/>
    </row>
    <row r="200" ht="15.75" customHeight="1">
      <c r="A200" s="35"/>
    </row>
    <row r="201" ht="15.75" customHeight="1">
      <c r="A201" s="35"/>
    </row>
    <row r="202" ht="15.75" customHeight="1">
      <c r="A202" s="35"/>
    </row>
    <row r="203" ht="15.75" customHeight="1">
      <c r="A203" s="35"/>
    </row>
    <row r="204" ht="15.75" customHeight="1">
      <c r="A204" s="35"/>
    </row>
    <row r="205" ht="15.75" customHeight="1">
      <c r="A205" s="35"/>
    </row>
    <row r="206" ht="15.75" customHeight="1">
      <c r="A206" s="35"/>
    </row>
    <row r="207" ht="15.75" customHeight="1">
      <c r="A207" s="35"/>
    </row>
    <row r="208" ht="15.75" customHeight="1">
      <c r="A208" s="35"/>
    </row>
    <row r="209" ht="15.75" customHeight="1">
      <c r="A209" s="35"/>
    </row>
    <row r="210" ht="15.75" customHeight="1">
      <c r="A210" s="35"/>
    </row>
    <row r="211" ht="15.75" customHeight="1">
      <c r="A211" s="35"/>
    </row>
    <row r="212" ht="15.75" customHeight="1">
      <c r="A212" s="35"/>
    </row>
    <row r="213" ht="15.75" customHeight="1">
      <c r="A213" s="35"/>
    </row>
    <row r="214" ht="15.75" customHeight="1">
      <c r="A214" s="35"/>
    </row>
    <row r="215" ht="15.75" customHeight="1">
      <c r="A215" s="35"/>
    </row>
    <row r="216" ht="15.75" customHeight="1">
      <c r="A216" s="35"/>
    </row>
    <row r="217" ht="15.75" customHeight="1">
      <c r="A217" s="35"/>
    </row>
    <row r="218" ht="15.75" customHeight="1">
      <c r="A218" s="35"/>
    </row>
    <row r="219" ht="15.75" customHeight="1">
      <c r="A219" s="35"/>
    </row>
    <row r="220" ht="15.75" customHeight="1">
      <c r="A220" s="35"/>
    </row>
    <row r="221" ht="15.75" customHeight="1">
      <c r="A221" s="35"/>
    </row>
    <row r="222" ht="15.75" customHeight="1">
      <c r="A222" s="35"/>
    </row>
    <row r="223" ht="15.75" customHeight="1">
      <c r="A223" s="35"/>
    </row>
    <row r="224" ht="15.75" customHeight="1">
      <c r="A224" s="35"/>
    </row>
    <row r="225" ht="15.75" customHeight="1">
      <c r="A225" s="35"/>
    </row>
    <row r="226" ht="15.75" customHeight="1">
      <c r="A226" s="35"/>
    </row>
    <row r="227" ht="15.75" customHeight="1">
      <c r="A227" s="35"/>
    </row>
    <row r="228" ht="15.75" customHeight="1">
      <c r="A228" s="35"/>
    </row>
    <row r="229" ht="15.75" customHeight="1">
      <c r="A229" s="35"/>
    </row>
    <row r="230" ht="15.75" customHeight="1">
      <c r="A230" s="35"/>
    </row>
    <row r="231" ht="15.75" customHeight="1">
      <c r="A231" s="35"/>
    </row>
    <row r="232" ht="15.75" customHeight="1">
      <c r="A232" s="35"/>
    </row>
    <row r="233" ht="15.75" customHeight="1">
      <c r="A233" s="35"/>
    </row>
    <row r="234" ht="15.75" customHeight="1">
      <c r="A234" s="35"/>
    </row>
    <row r="235" ht="15.75" customHeight="1">
      <c r="A235" s="35"/>
    </row>
    <row r="236" ht="15.75" customHeight="1">
      <c r="A236" s="35"/>
    </row>
    <row r="237" ht="15.75" customHeight="1">
      <c r="A237" s="35"/>
    </row>
    <row r="238" ht="15.75" customHeight="1">
      <c r="A238" s="35"/>
    </row>
    <row r="239" ht="15.75" customHeight="1">
      <c r="A239" s="35"/>
    </row>
    <row r="240" ht="15.75" customHeight="1">
      <c r="A240" s="35"/>
    </row>
    <row r="241" ht="15.75" customHeight="1">
      <c r="A241" s="35"/>
    </row>
    <row r="242" ht="15.75" customHeight="1">
      <c r="A242" s="35"/>
    </row>
    <row r="243" ht="15.75" customHeight="1">
      <c r="A243" s="35"/>
    </row>
    <row r="244" ht="15.75" customHeight="1">
      <c r="A244" s="35"/>
    </row>
    <row r="245" ht="15.75" customHeight="1">
      <c r="A245" s="35"/>
    </row>
    <row r="246" ht="15.75" customHeight="1">
      <c r="A246" s="35"/>
    </row>
    <row r="247" ht="15.75" customHeight="1">
      <c r="A247" s="35"/>
    </row>
    <row r="248" ht="15.75" customHeight="1">
      <c r="A248" s="35"/>
    </row>
    <row r="249" ht="15.75" customHeight="1">
      <c r="A249" s="35"/>
    </row>
    <row r="250" ht="15.75" customHeight="1">
      <c r="A250" s="35"/>
    </row>
    <row r="251" ht="15.75" customHeight="1">
      <c r="A251" s="35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K4"/>
    <hyperlink r:id="rId2" ref="K5"/>
    <hyperlink r:id="rId3" ref="K6"/>
    <hyperlink r:id="rId4" ref="K7"/>
    <hyperlink r:id="rId5" ref="K8"/>
    <hyperlink r:id="rId6" ref="K9"/>
    <hyperlink r:id="rId7" ref="K10"/>
  </hyperlinks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7.88"/>
    <col customWidth="1" min="3" max="3" width="20.88"/>
    <col customWidth="1" min="4" max="4" width="23.0"/>
    <col customWidth="1" min="5" max="5" width="37.88"/>
    <col customWidth="1" min="6" max="6" width="25.13"/>
    <col customWidth="1" min="7" max="7" width="26.75"/>
    <col customWidth="1" min="8" max="8" width="27.5"/>
    <col customWidth="1" min="9" max="10" width="35.38"/>
    <col customWidth="1" min="11" max="11" width="28.5"/>
    <col customWidth="1" min="12" max="12" width="22.88"/>
  </cols>
  <sheetData>
    <row r="1">
      <c r="A1" s="35"/>
    </row>
    <row r="2">
      <c r="A2" s="35"/>
    </row>
    <row r="3">
      <c r="A3" s="35" t="str">
        <f>IFERROR(__xludf.DUMMYFUNCTION("importrange(""https://docs.google.com/spreadsheets/d/1xPiHNW4C0ophrt9T4eN0gBmNg_n1uxp58FRY494zwM0/edit?gid=1748825766#gid=1748825766"",""Form Responses 1!A1:N50"")"),"Timestamp")</f>
        <v>Timestamp</v>
      </c>
      <c r="B3" s="34" t="str">
        <f>IFERROR(__xludf.DUMMYFUNCTION("""COMPUTED_VALUE"""),"Nama Peserta")</f>
        <v>Nama Peserta</v>
      </c>
      <c r="C3" s="34" t="str">
        <f>IFERROR(__xludf.DUMMYFUNCTION("""COMPUTED_VALUE"""),"NIP")</f>
        <v>NIP</v>
      </c>
      <c r="D3" s="34" t="str">
        <f>IFERROR(__xludf.DUMMYFUNCTION("""COMPUTED_VALUE"""),"Jabatan Peserta")</f>
        <v>Jabatan Peserta</v>
      </c>
      <c r="E3" s="34" t="str">
        <f>IFERROR(__xludf.DUMMYFUNCTION("""COMPUTED_VALUE"""),"Unit Kerja")</f>
        <v>Unit Kerja</v>
      </c>
      <c r="F3" s="34" t="str">
        <f>IFERROR(__xludf.DUMMYFUNCTION("""COMPUTED_VALUE"""),"Upload Form CI")</f>
        <v>Upload Form CI</v>
      </c>
      <c r="G3" s="34" t="str">
        <f>IFERROR(__xludf.DUMMYFUNCTION("""COMPUTED_VALUE"""),"Upload Form Q-Kom")</f>
        <v>Upload Form Q-Kom</v>
      </c>
      <c r="H3" s="34"/>
      <c r="I3" s="34"/>
      <c r="J3" s="34"/>
      <c r="K3" s="34"/>
      <c r="L3" s="33"/>
      <c r="M3" s="34"/>
    </row>
    <row r="4">
      <c r="A4" s="35">
        <f>IFERROR(__xludf.DUMMYFUNCTION("""COMPUTED_VALUE"""),45960.69613444444)</f>
        <v>45960.69613</v>
      </c>
      <c r="B4" s="34" t="str">
        <f>IFERROR(__xludf.DUMMYFUNCTION("""COMPUTED_VALUE"""),"IS FAHMIN")</f>
        <v>IS FAHMIN</v>
      </c>
      <c r="C4" s="34" t="str">
        <f>IFERROR(__xludf.DUMMYFUNCTION("""COMPUTED_VALUE"""),"197311101992111001")</f>
        <v>197311101992111001</v>
      </c>
      <c r="D4" s="34" t="str">
        <f>IFERROR(__xludf.DUMMYFUNCTION("""COMPUTED_VALUE"""),"Kepala Dinas")</f>
        <v>Kepala Dinas</v>
      </c>
      <c r="E4" s="34" t="str">
        <f>IFERROR(__xludf.DUMMYFUNCTION("""COMPUTED_VALUE"""),"Dinas Perhubungan Kota Boma")</f>
        <v>Dinas Perhubungan Kota Boma</v>
      </c>
      <c r="F4" s="36" t="str">
        <f>IFERROR(__xludf.DUMMYFUNCTION("""COMPUTED_VALUE"""),"https://drive.google.com/open?id=1Y4SlA8BdIeuwR_nJc9irKI9cs202JeB_")</f>
        <v>https://drive.google.com/open?id=1Y4SlA8BdIeuwR_nJc9irKI9cs202JeB_</v>
      </c>
      <c r="G4" s="36" t="str">
        <f>IFERROR(__xludf.DUMMYFUNCTION("""COMPUTED_VALUE"""),"https://drive.google.com/open?id=13w4-DbhZxtAyGLIcG_TE9uAPGU6DlDbl")</f>
        <v>https://drive.google.com/open?id=13w4-DbhZxtAyGLIcG_TE9uAPGU6DlDbl</v>
      </c>
      <c r="H4" s="34"/>
      <c r="I4" s="34"/>
      <c r="J4" s="34"/>
      <c r="K4" s="34"/>
      <c r="L4" s="34"/>
      <c r="M4" s="34"/>
    </row>
    <row r="5">
      <c r="A5" s="35">
        <f>IFERROR(__xludf.DUMMYFUNCTION("""COMPUTED_VALUE"""),45960.83880631944)</f>
        <v>45960.83881</v>
      </c>
      <c r="B5" s="34" t="str">
        <f>IFERROR(__xludf.DUMMYFUNCTION("""COMPUTED_VALUE"""),"Muhammad Hasyim")</f>
        <v>Muhammad Hasyim</v>
      </c>
      <c r="C5" s="34" t="str">
        <f>IFERROR(__xludf.DUMMYFUNCTION("""COMPUTED_VALUE"""),"197208241993031003")</f>
        <v>197208241993031003</v>
      </c>
      <c r="D5" s="34" t="str">
        <f>IFERROR(__xludf.DUMMYFUNCTION("""COMPUTED_VALUE"""),"Kepala Dinas")</f>
        <v>Kepala Dinas</v>
      </c>
      <c r="E5" s="34" t="str">
        <f>IFERROR(__xludf.DUMMYFUNCTION("""COMPUTED_VALUE"""),"Dinas Komunikasi Informatika dan  Statistik ")</f>
        <v>Dinas Komunikasi Informatika dan  Statistik </v>
      </c>
      <c r="F5" s="36" t="str">
        <f>IFERROR(__xludf.DUMMYFUNCTION("""COMPUTED_VALUE"""),"https://drive.google.com/open?id=1D97TyqGvFUL2uzqDOiizoggeihjJS25i")</f>
        <v>https://drive.google.com/open?id=1D97TyqGvFUL2uzqDOiizoggeihjJS25i</v>
      </c>
      <c r="G5" s="36" t="str">
        <f>IFERROR(__xludf.DUMMYFUNCTION("""COMPUTED_VALUE"""),"https://drive.google.com/open?id=1oT94f7iYPGK9BdVslL0cY6KT29dxWno9")</f>
        <v>https://drive.google.com/open?id=1oT94f7iYPGK9BdVslL0cY6KT29dxWno9</v>
      </c>
      <c r="H5" s="34"/>
      <c r="I5" s="34"/>
      <c r="J5" s="34"/>
      <c r="K5" s="34"/>
      <c r="L5" s="34"/>
      <c r="M5" s="34"/>
    </row>
    <row r="6">
      <c r="A6" s="35">
        <f>IFERROR(__xludf.DUMMYFUNCTION("""COMPUTED_VALUE"""),45960.95691782408)</f>
        <v>45960.95692</v>
      </c>
      <c r="B6" s="34" t="str">
        <f>IFERROR(__xludf.DUMMYFUNCTION("""COMPUTED_VALUE"""),"SUKARNO S.H")</f>
        <v>SUKARNO S.H</v>
      </c>
      <c r="C6" s="34" t="str">
        <f>IFERROR(__xludf.DUMMYFUNCTION("""COMPUTED_VALUE"""),"196812222002101001")</f>
        <v>196812222002101001</v>
      </c>
      <c r="D6" s="34" t="str">
        <f>IFERROR(__xludf.DUMMYFUNCTION("""COMPUTED_VALUE"""),"KEPALA DINAS ")</f>
        <v>KEPALA DINAS </v>
      </c>
      <c r="E6" s="34" t="str">
        <f>IFERROR(__xludf.DUMMYFUNCTION("""COMPUTED_VALUE"""),"DINAS PARIWISATA DAN KEBUDAYAAN")</f>
        <v>DINAS PARIWISATA DAN KEBUDAYAAN</v>
      </c>
      <c r="F6" s="36" t="str">
        <f>IFERROR(__xludf.DUMMYFUNCTION("""COMPUTED_VALUE"""),"https://drive.google.com/open?id=1Z2hi0p2UpqX4c3AigBQ446Qh_fqNHzei")</f>
        <v>https://drive.google.com/open?id=1Z2hi0p2UpqX4c3AigBQ446Qh_fqNHzei</v>
      </c>
      <c r="G6" s="36" t="str">
        <f>IFERROR(__xludf.DUMMYFUNCTION("""COMPUTED_VALUE"""),"https://drive.google.com/open?id=1pyU0PiyCEuNebLA8rmu2DlHUJzfINMoT")</f>
        <v>https://drive.google.com/open?id=1pyU0PiyCEuNebLA8rmu2DlHUJzfINMoT</v>
      </c>
      <c r="H6" s="34"/>
      <c r="I6" s="34"/>
      <c r="J6" s="34"/>
      <c r="K6" s="34"/>
      <c r="L6" s="34"/>
      <c r="M6" s="34"/>
    </row>
    <row r="7">
      <c r="A7" s="35">
        <f>IFERROR(__xludf.DUMMYFUNCTION("""COMPUTED_VALUE"""),45961.31408744213)</f>
        <v>45961.31409</v>
      </c>
      <c r="B7" s="34" t="str">
        <f>IFERROR(__xludf.DUMMYFUNCTION("""COMPUTED_VALUE"""),"Muhammad Fakhrunraji")</f>
        <v>Muhammad Fakhrunraji</v>
      </c>
      <c r="C7" s="34" t="str">
        <f>IFERROR(__xludf.DUMMYFUNCTION("""COMPUTED_VALUE"""),"196808281992031010")</f>
        <v>196808281992031010</v>
      </c>
      <c r="D7" s="34" t="str">
        <f>IFERROR(__xludf.DUMMYFUNCTION("""COMPUTED_VALUE"""),"Inspektur Kota Bima")</f>
        <v>Inspektur Kota Bima</v>
      </c>
      <c r="E7" s="34" t="str">
        <f>IFERROR(__xludf.DUMMYFUNCTION("""COMPUTED_VALUE"""),"Inspektorat Kota Bima")</f>
        <v>Inspektorat Kota Bima</v>
      </c>
      <c r="F7" s="36" t="str">
        <f>IFERROR(__xludf.DUMMYFUNCTION("""COMPUTED_VALUE"""),"https://drive.google.com/open?id=1Oo0bklyIyT-CmAqlW9yWp_z_VavTduh3")</f>
        <v>https://drive.google.com/open?id=1Oo0bklyIyT-CmAqlW9yWp_z_VavTduh3</v>
      </c>
      <c r="G7" s="36" t="str">
        <f>IFERROR(__xludf.DUMMYFUNCTION("""COMPUTED_VALUE"""),"https://drive.google.com/open?id=1l018Pcp0_-CUJxZuvxxiF0CqakHgJMuW")</f>
        <v>https://drive.google.com/open?id=1l018Pcp0_-CUJxZuvxxiF0CqakHgJMuW</v>
      </c>
      <c r="H7" s="34"/>
      <c r="I7" s="34"/>
      <c r="J7" s="34"/>
      <c r="K7" s="34"/>
      <c r="L7" s="34"/>
      <c r="M7" s="34"/>
    </row>
    <row r="8">
      <c r="A8" s="35">
        <f>IFERROR(__xludf.DUMMYFUNCTION("""COMPUTED_VALUE"""),45961.33415369213)</f>
        <v>45961.33415</v>
      </c>
      <c r="B8" s="34" t="str">
        <f>IFERROR(__xludf.DUMMYFUNCTION("""COMPUTED_VALUE"""),"Syarif Rustaman")</f>
        <v>Syarif Rustaman</v>
      </c>
      <c r="C8" s="34" t="str">
        <f>IFERROR(__xludf.DUMMYFUNCTION("""COMPUTED_VALUE"""),"197304091992111001")</f>
        <v>197304091992111001</v>
      </c>
      <c r="D8" s="34" t="str">
        <f>IFERROR(__xludf.DUMMYFUNCTION("""COMPUTED_VALUE"""),"Kepala Badan")</f>
        <v>Kepala Badan</v>
      </c>
      <c r="E8" s="34" t="str">
        <f>IFERROR(__xludf.DUMMYFUNCTION("""COMPUTED_VALUE"""),"Badan Perencanaan Pembangunan Daerah Kota Bima")</f>
        <v>Badan Perencanaan Pembangunan Daerah Kota Bima</v>
      </c>
      <c r="F8" s="36" t="str">
        <f>IFERROR(__xludf.DUMMYFUNCTION("""COMPUTED_VALUE"""),"https://drive.google.com/open?id=1yE9xCnKnMXZMzvX00CZ6q7gctddnd9zA")</f>
        <v>https://drive.google.com/open?id=1yE9xCnKnMXZMzvX00CZ6q7gctddnd9zA</v>
      </c>
      <c r="G8" s="36" t="str">
        <f>IFERROR(__xludf.DUMMYFUNCTION("""COMPUTED_VALUE"""),"https://drive.google.com/open?id=16x0venGgrZ9wXOyoQG6XsD4x2lC-QHZa")</f>
        <v>https://drive.google.com/open?id=16x0venGgrZ9wXOyoQG6XsD4x2lC-QHZa</v>
      </c>
      <c r="H8" s="34"/>
      <c r="I8" s="34"/>
      <c r="J8" s="34"/>
      <c r="K8" s="34"/>
      <c r="L8" s="34"/>
      <c r="M8" s="34"/>
    </row>
    <row r="9">
      <c r="A9" s="35">
        <f>IFERROR(__xludf.DUMMYFUNCTION("""COMPUTED_VALUE"""),45961.71773347222)</f>
        <v>45961.71773</v>
      </c>
      <c r="B9" s="34" t="str">
        <f>IFERROR(__xludf.DUMMYFUNCTION("""COMPUTED_VALUE"""),"Arif Roesman Effendy")</f>
        <v>Arif Roesman Effendy</v>
      </c>
      <c r="C9" s="34" t="str">
        <f>IFERROR(__xludf.DUMMYFUNCTION("""COMPUTED_VALUE"""),"197108152005011011")</f>
        <v>197108152005011011</v>
      </c>
      <c r="D9" s="34" t="str">
        <f>IFERROR(__xludf.DUMMYFUNCTION("""COMPUTED_VALUE"""),"Kepala Badan")</f>
        <v>Kepala Badan</v>
      </c>
      <c r="E9" s="34" t="str">
        <f>IFERROR(__xludf.DUMMYFUNCTION("""COMPUTED_VALUE"""),"Badan Riset dan Inovasi Daerah Kota Bima")</f>
        <v>Badan Riset dan Inovasi Daerah Kota Bima</v>
      </c>
      <c r="F9" s="36" t="str">
        <f>IFERROR(__xludf.DUMMYFUNCTION("""COMPUTED_VALUE"""),"https://drive.google.com/open?id=1wV26GFpjP4UKadI-tKnz6salodT4LnF7")</f>
        <v>https://drive.google.com/open?id=1wV26GFpjP4UKadI-tKnz6salodT4LnF7</v>
      </c>
      <c r="G9" s="36" t="str">
        <f>IFERROR(__xludf.DUMMYFUNCTION("""COMPUTED_VALUE"""),"https://drive.google.com/open?id=12v4_Y0UnSZuYo5L995KpIchuv3HBbDTV")</f>
        <v>https://drive.google.com/open?id=12v4_Y0UnSZuYo5L995KpIchuv3HBbDTV</v>
      </c>
      <c r="H9" s="34"/>
      <c r="I9" s="34"/>
      <c r="J9" s="34"/>
      <c r="K9" s="34"/>
      <c r="L9" s="34"/>
      <c r="M9" s="34"/>
    </row>
    <row r="10">
      <c r="A10" s="35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</row>
    <row r="11">
      <c r="A11" s="35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</row>
    <row r="12">
      <c r="A12" s="35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</row>
    <row r="13">
      <c r="A13" s="35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</row>
    <row r="14">
      <c r="A14" s="35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</row>
    <row r="15">
      <c r="A15" s="35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</row>
    <row r="16">
      <c r="A16" s="35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</row>
    <row r="17">
      <c r="A17" s="35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</row>
    <row r="18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</row>
    <row r="19">
      <c r="A19" s="35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</row>
    <row r="20">
      <c r="A20" s="35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</row>
    <row r="21" ht="15.75" customHeight="1">
      <c r="A21" s="35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</row>
    <row r="22" ht="15.75" customHeight="1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</row>
    <row r="23" ht="15.75" customHeight="1">
      <c r="A23" s="35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</row>
    <row r="24" ht="15.75" customHeight="1">
      <c r="A24" s="35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</row>
    <row r="25" ht="15.75" customHeight="1">
      <c r="A25" s="35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</row>
    <row r="26" ht="15.75" customHeight="1">
      <c r="A26" s="35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</row>
    <row r="27" ht="15.75" customHeight="1">
      <c r="A27" s="35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</row>
    <row r="28" ht="15.75" customHeight="1">
      <c r="A28" s="35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</row>
    <row r="29" ht="15.75" customHeight="1">
      <c r="A29" s="35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</row>
    <row r="30" ht="15.75" customHeight="1">
      <c r="A30" s="35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</row>
    <row r="31" ht="15.75" customHeight="1">
      <c r="A31" s="35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</row>
    <row r="32" ht="15.75" customHeight="1">
      <c r="A32" s="35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</row>
    <row r="33" ht="15.75" customHeight="1">
      <c r="A33" s="35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</row>
    <row r="34" ht="15.75" customHeight="1">
      <c r="A34" s="35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</row>
    <row r="35" ht="15.75" customHeight="1">
      <c r="A35" s="35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</row>
    <row r="36" ht="15.75" customHeight="1">
      <c r="A36" s="35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</row>
    <row r="37" ht="15.75" customHeight="1">
      <c r="A37" s="35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</row>
    <row r="38" ht="15.75" customHeight="1">
      <c r="A38" s="35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</row>
    <row r="39" ht="15.75" customHeight="1">
      <c r="A39" s="35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</row>
    <row r="40" ht="15.75" customHeight="1">
      <c r="A40" s="35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ht="15.75" customHeight="1">
      <c r="A41" s="35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</row>
    <row r="42" ht="15.75" customHeight="1">
      <c r="A42" s="35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</row>
    <row r="43" ht="15.75" customHeight="1">
      <c r="A43" s="35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</row>
    <row r="44" ht="15.75" customHeight="1">
      <c r="A44" s="35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</row>
    <row r="45" ht="15.75" customHeight="1">
      <c r="A45" s="35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</row>
    <row r="46" ht="15.75" customHeight="1">
      <c r="A46" s="35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</row>
    <row r="47" ht="15.75" customHeight="1">
      <c r="A47" s="35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</row>
    <row r="48" ht="15.75" customHeight="1">
      <c r="A48" s="35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</row>
    <row r="49" ht="15.75" customHeight="1">
      <c r="A49" s="35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</row>
    <row r="50" ht="15.75" customHeight="1">
      <c r="A50" s="35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</row>
    <row r="51" ht="15.75" customHeight="1">
      <c r="A51" s="35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</row>
    <row r="52" ht="15.75" customHeight="1">
      <c r="A52" s="35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</row>
    <row r="53" ht="15.75" customHeight="1">
      <c r="A53" s="35"/>
      <c r="B53" s="34"/>
      <c r="C53" s="34"/>
      <c r="D53" s="34"/>
      <c r="E53" s="34"/>
      <c r="F53" s="34"/>
      <c r="G53" s="34"/>
      <c r="H53" s="34"/>
      <c r="I53" s="34"/>
      <c r="J53" s="34"/>
    </row>
    <row r="54" ht="15.75" customHeight="1">
      <c r="A54" s="35"/>
      <c r="B54" s="34"/>
      <c r="C54" s="34"/>
      <c r="D54" s="34"/>
      <c r="E54" s="34"/>
      <c r="F54" s="34"/>
      <c r="G54" s="34"/>
      <c r="H54" s="34"/>
      <c r="I54" s="34"/>
      <c r="J54" s="34"/>
    </row>
    <row r="55" ht="15.75" customHeight="1">
      <c r="A55" s="35"/>
      <c r="B55" s="34"/>
      <c r="C55" s="34"/>
      <c r="D55" s="34"/>
      <c r="E55" s="34"/>
      <c r="F55" s="34"/>
      <c r="G55" s="34"/>
      <c r="H55" s="34"/>
      <c r="I55" s="34"/>
      <c r="J55" s="34"/>
    </row>
    <row r="56" ht="15.75" customHeight="1">
      <c r="A56" s="35"/>
      <c r="B56" s="34"/>
      <c r="C56" s="34"/>
      <c r="D56" s="34"/>
      <c r="E56" s="34"/>
      <c r="F56" s="34"/>
      <c r="G56" s="34"/>
      <c r="H56" s="34"/>
      <c r="I56" s="34"/>
      <c r="J56" s="34"/>
    </row>
    <row r="57" ht="15.75" customHeight="1">
      <c r="A57" s="35"/>
      <c r="B57" s="34"/>
      <c r="C57" s="34"/>
      <c r="D57" s="34"/>
      <c r="E57" s="34"/>
      <c r="F57" s="34"/>
      <c r="G57" s="34"/>
      <c r="H57" s="34"/>
      <c r="I57" s="34"/>
      <c r="J57" s="34"/>
    </row>
    <row r="58" ht="15.75" customHeight="1">
      <c r="A58" s="35"/>
      <c r="B58" s="34"/>
      <c r="C58" s="34"/>
      <c r="D58" s="34"/>
      <c r="E58" s="34"/>
      <c r="F58" s="34"/>
      <c r="G58" s="34"/>
      <c r="H58" s="34"/>
      <c r="I58" s="34"/>
      <c r="J58" s="34"/>
    </row>
    <row r="59" ht="15.75" customHeight="1">
      <c r="A59" s="35"/>
      <c r="B59" s="34"/>
      <c r="C59" s="34"/>
      <c r="D59" s="34"/>
      <c r="E59" s="34"/>
      <c r="F59" s="34"/>
      <c r="G59" s="34"/>
      <c r="H59" s="34"/>
      <c r="I59" s="34"/>
      <c r="J59" s="34"/>
    </row>
    <row r="60" ht="15.75" customHeight="1">
      <c r="A60" s="35"/>
      <c r="B60" s="34"/>
      <c r="C60" s="34"/>
      <c r="D60" s="34"/>
      <c r="E60" s="34"/>
      <c r="F60" s="34"/>
      <c r="G60" s="34"/>
      <c r="H60" s="34"/>
      <c r="I60" s="34"/>
      <c r="J60" s="34"/>
    </row>
    <row r="61" ht="15.75" customHeight="1">
      <c r="A61" s="35"/>
      <c r="B61" s="34"/>
      <c r="C61" s="34"/>
      <c r="D61" s="34"/>
      <c r="E61" s="34"/>
      <c r="F61" s="34"/>
      <c r="G61" s="34"/>
      <c r="H61" s="34"/>
      <c r="I61" s="34"/>
      <c r="J61" s="34"/>
    </row>
    <row r="62" ht="15.75" customHeight="1">
      <c r="A62" s="35"/>
      <c r="B62" s="34"/>
      <c r="C62" s="34"/>
      <c r="D62" s="34"/>
      <c r="E62" s="34"/>
      <c r="F62" s="34"/>
      <c r="G62" s="34"/>
      <c r="H62" s="34"/>
      <c r="I62" s="34"/>
      <c r="J62" s="34"/>
    </row>
    <row r="63" ht="15.75" customHeight="1">
      <c r="A63" s="35"/>
      <c r="B63" s="34"/>
      <c r="C63" s="34"/>
      <c r="D63" s="34"/>
      <c r="E63" s="34"/>
      <c r="F63" s="34"/>
      <c r="G63" s="34"/>
      <c r="H63" s="34"/>
      <c r="I63" s="34"/>
      <c r="J63" s="34"/>
    </row>
    <row r="64" ht="15.75" customHeight="1">
      <c r="A64" s="35"/>
      <c r="B64" s="34"/>
      <c r="C64" s="34"/>
      <c r="D64" s="34"/>
      <c r="E64" s="34"/>
      <c r="F64" s="34"/>
      <c r="G64" s="34"/>
      <c r="H64" s="34"/>
      <c r="I64" s="34"/>
      <c r="J64" s="34"/>
    </row>
    <row r="65" ht="15.75" customHeight="1">
      <c r="A65" s="35"/>
      <c r="B65" s="34"/>
      <c r="C65" s="34"/>
      <c r="D65" s="34"/>
      <c r="E65" s="34"/>
      <c r="F65" s="34"/>
      <c r="G65" s="34"/>
      <c r="H65" s="34"/>
      <c r="I65" s="34"/>
      <c r="J65" s="34"/>
    </row>
    <row r="66" ht="15.75" customHeight="1">
      <c r="A66" s="35"/>
      <c r="B66" s="34"/>
      <c r="C66" s="34"/>
      <c r="D66" s="34"/>
      <c r="E66" s="34"/>
      <c r="F66" s="34"/>
      <c r="G66" s="34"/>
      <c r="H66" s="34"/>
      <c r="I66" s="34"/>
      <c r="J66" s="34"/>
    </row>
    <row r="67" ht="15.75" customHeight="1">
      <c r="A67" s="35"/>
      <c r="B67" s="34"/>
      <c r="C67" s="34"/>
      <c r="D67" s="34"/>
      <c r="E67" s="34"/>
      <c r="F67" s="34"/>
      <c r="G67" s="34"/>
      <c r="H67" s="34"/>
      <c r="I67" s="34"/>
      <c r="J67" s="34"/>
    </row>
    <row r="68" ht="15.75" customHeight="1">
      <c r="A68" s="35"/>
      <c r="B68" s="34"/>
      <c r="C68" s="34"/>
      <c r="D68" s="34"/>
      <c r="E68" s="34"/>
      <c r="F68" s="34"/>
      <c r="G68" s="34"/>
      <c r="H68" s="34"/>
      <c r="I68" s="34"/>
      <c r="J68" s="34"/>
    </row>
    <row r="69" ht="15.75" customHeight="1">
      <c r="A69" s="35"/>
      <c r="B69" s="34"/>
      <c r="C69" s="34"/>
      <c r="D69" s="34"/>
      <c r="E69" s="34"/>
      <c r="F69" s="34"/>
      <c r="G69" s="34"/>
      <c r="H69" s="34"/>
      <c r="I69" s="34"/>
      <c r="J69" s="34"/>
    </row>
    <row r="70" ht="15.75" customHeight="1">
      <c r="A70" s="35"/>
      <c r="B70" s="34"/>
      <c r="C70" s="34"/>
      <c r="D70" s="34"/>
      <c r="E70" s="34"/>
      <c r="F70" s="34"/>
      <c r="G70" s="34"/>
      <c r="H70" s="34"/>
      <c r="I70" s="34"/>
      <c r="J70" s="34"/>
    </row>
    <row r="71" ht="15.75" customHeight="1">
      <c r="A71" s="35"/>
      <c r="B71" s="34"/>
      <c r="C71" s="34"/>
      <c r="D71" s="34"/>
      <c r="E71" s="34"/>
      <c r="F71" s="34"/>
      <c r="G71" s="34"/>
      <c r="H71" s="34"/>
      <c r="I71" s="34"/>
      <c r="J71" s="34"/>
    </row>
    <row r="72" ht="15.75" customHeight="1">
      <c r="A72" s="35"/>
      <c r="B72" s="34"/>
      <c r="C72" s="34"/>
      <c r="D72" s="34"/>
      <c r="E72" s="34"/>
      <c r="F72" s="34"/>
      <c r="G72" s="34"/>
      <c r="H72" s="34"/>
      <c r="I72" s="34"/>
      <c r="J72" s="34"/>
    </row>
    <row r="73" ht="15.75" customHeight="1">
      <c r="A73" s="35"/>
      <c r="B73" s="34"/>
      <c r="C73" s="34"/>
      <c r="D73" s="34"/>
      <c r="E73" s="34"/>
      <c r="F73" s="34"/>
      <c r="G73" s="34"/>
      <c r="H73" s="34"/>
      <c r="I73" s="34"/>
      <c r="J73" s="34"/>
    </row>
    <row r="74" ht="15.75" customHeight="1">
      <c r="A74" s="35"/>
      <c r="B74" s="34"/>
      <c r="C74" s="34"/>
      <c r="D74" s="34"/>
      <c r="E74" s="34"/>
      <c r="F74" s="34"/>
      <c r="G74" s="34"/>
      <c r="H74" s="34"/>
      <c r="I74" s="34"/>
      <c r="J74" s="34"/>
    </row>
    <row r="75" ht="15.75" customHeight="1">
      <c r="A75" s="35"/>
      <c r="B75" s="34"/>
      <c r="C75" s="34"/>
      <c r="D75" s="34"/>
      <c r="E75" s="34"/>
      <c r="F75" s="34"/>
      <c r="G75" s="34"/>
      <c r="H75" s="34"/>
      <c r="I75" s="34"/>
      <c r="J75" s="34"/>
    </row>
    <row r="76" ht="15.75" customHeight="1">
      <c r="A76" s="35"/>
      <c r="B76" s="34"/>
      <c r="C76" s="34"/>
      <c r="D76" s="34"/>
      <c r="E76" s="34"/>
      <c r="F76" s="34"/>
      <c r="G76" s="34"/>
      <c r="H76" s="34"/>
      <c r="I76" s="34"/>
      <c r="J76" s="34"/>
    </row>
    <row r="77" ht="15.75" customHeight="1">
      <c r="A77" s="35"/>
      <c r="B77" s="34"/>
      <c r="C77" s="34"/>
      <c r="D77" s="34"/>
      <c r="E77" s="34"/>
      <c r="F77" s="34"/>
      <c r="G77" s="34"/>
      <c r="H77" s="34"/>
      <c r="I77" s="34"/>
      <c r="J77" s="34"/>
    </row>
    <row r="78" ht="15.75" customHeight="1">
      <c r="A78" s="35"/>
      <c r="B78" s="34"/>
      <c r="C78" s="34"/>
      <c r="D78" s="34"/>
      <c r="E78" s="34"/>
      <c r="F78" s="34"/>
      <c r="G78" s="34"/>
      <c r="H78" s="34"/>
      <c r="I78" s="34"/>
      <c r="J78" s="34"/>
    </row>
    <row r="79" ht="15.75" customHeight="1">
      <c r="A79" s="35"/>
      <c r="B79" s="34"/>
      <c r="C79" s="34"/>
      <c r="D79" s="34"/>
      <c r="E79" s="34"/>
      <c r="F79" s="34"/>
      <c r="G79" s="34"/>
      <c r="H79" s="34"/>
      <c r="I79" s="34"/>
      <c r="J79" s="34"/>
    </row>
    <row r="80" ht="15.75" customHeight="1">
      <c r="A80" s="35"/>
      <c r="B80" s="34"/>
      <c r="C80" s="34"/>
      <c r="D80" s="34"/>
      <c r="E80" s="34"/>
      <c r="F80" s="34"/>
      <c r="G80" s="34"/>
      <c r="H80" s="34"/>
      <c r="I80" s="34"/>
      <c r="J80" s="34"/>
    </row>
    <row r="81" ht="15.75" customHeight="1">
      <c r="A81" s="35"/>
      <c r="B81" s="34"/>
      <c r="C81" s="34"/>
      <c r="D81" s="34"/>
      <c r="E81" s="34"/>
      <c r="F81" s="34"/>
      <c r="G81" s="34"/>
      <c r="H81" s="34"/>
      <c r="I81" s="34"/>
      <c r="J81" s="34"/>
    </row>
    <row r="82" ht="15.75" customHeight="1">
      <c r="A82" s="35"/>
      <c r="B82" s="34"/>
      <c r="C82" s="34"/>
      <c r="D82" s="34"/>
      <c r="E82" s="34"/>
      <c r="F82" s="34"/>
      <c r="G82" s="34"/>
      <c r="H82" s="34"/>
      <c r="I82" s="34"/>
      <c r="J82" s="34"/>
    </row>
    <row r="83" ht="15.75" customHeight="1">
      <c r="A83" s="35"/>
      <c r="B83" s="34"/>
      <c r="C83" s="34"/>
      <c r="D83" s="34"/>
      <c r="E83" s="34"/>
      <c r="F83" s="34"/>
      <c r="G83" s="34"/>
      <c r="H83" s="34"/>
      <c r="I83" s="34"/>
      <c r="J83" s="34"/>
    </row>
    <row r="84" ht="15.75" customHeight="1">
      <c r="A84" s="35"/>
      <c r="B84" s="34"/>
      <c r="C84" s="34"/>
      <c r="D84" s="34"/>
      <c r="E84" s="34"/>
      <c r="F84" s="34"/>
      <c r="G84" s="34"/>
      <c r="H84" s="34"/>
      <c r="I84" s="34"/>
      <c r="J84" s="34"/>
    </row>
    <row r="85" ht="15.75" customHeight="1">
      <c r="A85" s="35"/>
      <c r="B85" s="34"/>
      <c r="C85" s="34"/>
      <c r="D85" s="34"/>
      <c r="E85" s="34"/>
      <c r="F85" s="34"/>
      <c r="G85" s="34"/>
      <c r="H85" s="34"/>
      <c r="I85" s="34"/>
      <c r="J85" s="34"/>
    </row>
    <row r="86" ht="15.75" customHeight="1">
      <c r="A86" s="35"/>
      <c r="B86" s="34"/>
      <c r="C86" s="34"/>
      <c r="D86" s="34"/>
      <c r="E86" s="34"/>
      <c r="F86" s="34"/>
      <c r="G86" s="34"/>
      <c r="H86" s="34"/>
      <c r="I86" s="34"/>
      <c r="J86" s="34"/>
    </row>
    <row r="87" ht="15.75" customHeight="1">
      <c r="A87" s="35"/>
      <c r="B87" s="34"/>
      <c r="C87" s="34"/>
      <c r="D87" s="34"/>
      <c r="E87" s="34"/>
      <c r="F87" s="34"/>
      <c r="G87" s="34"/>
      <c r="H87" s="34"/>
      <c r="I87" s="34"/>
      <c r="J87" s="34"/>
    </row>
    <row r="88" ht="15.75" customHeight="1">
      <c r="A88" s="35"/>
      <c r="B88" s="34"/>
      <c r="C88" s="34"/>
      <c r="D88" s="34"/>
      <c r="E88" s="34"/>
      <c r="F88" s="34"/>
      <c r="G88" s="34"/>
      <c r="H88" s="34"/>
      <c r="I88" s="34"/>
      <c r="J88" s="34"/>
    </row>
    <row r="89" ht="15.75" customHeight="1">
      <c r="A89" s="35"/>
      <c r="B89" s="34"/>
      <c r="C89" s="34"/>
      <c r="D89" s="34"/>
      <c r="E89" s="34"/>
      <c r="F89" s="34"/>
      <c r="G89" s="34"/>
      <c r="H89" s="34"/>
      <c r="I89" s="34"/>
      <c r="J89" s="34"/>
    </row>
    <row r="90" ht="15.75" customHeight="1">
      <c r="A90" s="35"/>
      <c r="B90" s="34"/>
      <c r="C90" s="34"/>
      <c r="D90" s="34"/>
      <c r="E90" s="34"/>
      <c r="F90" s="34"/>
      <c r="G90" s="34"/>
      <c r="H90" s="34"/>
      <c r="I90" s="34"/>
      <c r="J90" s="34"/>
    </row>
    <row r="91" ht="15.75" customHeight="1">
      <c r="A91" s="35"/>
      <c r="B91" s="34"/>
      <c r="C91" s="34"/>
      <c r="D91" s="34"/>
      <c r="E91" s="34"/>
      <c r="F91" s="34"/>
      <c r="G91" s="34"/>
      <c r="H91" s="34"/>
      <c r="I91" s="34"/>
      <c r="J91" s="34"/>
    </row>
    <row r="92" ht="15.75" customHeight="1">
      <c r="A92" s="35"/>
      <c r="B92" s="34"/>
      <c r="C92" s="34"/>
      <c r="D92" s="34"/>
      <c r="E92" s="34"/>
      <c r="F92" s="34"/>
      <c r="G92" s="34"/>
      <c r="H92" s="34"/>
      <c r="I92" s="34"/>
      <c r="J92" s="34"/>
    </row>
    <row r="93" ht="15.75" customHeight="1">
      <c r="A93" s="35"/>
      <c r="B93" s="34"/>
      <c r="C93" s="34"/>
      <c r="D93" s="34"/>
      <c r="E93" s="34"/>
      <c r="F93" s="34"/>
      <c r="G93" s="34"/>
      <c r="H93" s="34"/>
      <c r="I93" s="34"/>
      <c r="J93" s="34"/>
    </row>
    <row r="94" ht="15.75" customHeight="1">
      <c r="A94" s="35"/>
      <c r="B94" s="34"/>
      <c r="C94" s="34"/>
      <c r="D94" s="34"/>
      <c r="E94" s="34"/>
      <c r="F94" s="34"/>
      <c r="G94" s="34"/>
      <c r="H94" s="34"/>
      <c r="I94" s="34"/>
      <c r="J94" s="34"/>
    </row>
    <row r="95" ht="15.75" customHeight="1">
      <c r="A95" s="35"/>
      <c r="B95" s="34"/>
      <c r="C95" s="34"/>
      <c r="D95" s="34"/>
      <c r="E95" s="34"/>
      <c r="F95" s="34"/>
      <c r="G95" s="34"/>
      <c r="H95" s="34"/>
      <c r="I95" s="34"/>
      <c r="J95" s="34"/>
    </row>
    <row r="96" ht="15.75" customHeight="1">
      <c r="A96" s="35"/>
      <c r="B96" s="34"/>
      <c r="C96" s="34"/>
      <c r="D96" s="34"/>
      <c r="E96" s="34"/>
      <c r="F96" s="34"/>
      <c r="G96" s="34"/>
      <c r="H96" s="34"/>
      <c r="I96" s="34"/>
      <c r="J96" s="34"/>
    </row>
    <row r="97" ht="15.75" customHeight="1">
      <c r="A97" s="35"/>
      <c r="B97" s="34"/>
      <c r="C97" s="34"/>
      <c r="D97" s="34"/>
      <c r="E97" s="34"/>
      <c r="F97" s="34"/>
      <c r="G97" s="34"/>
      <c r="H97" s="34"/>
      <c r="I97" s="34"/>
      <c r="J97" s="34"/>
    </row>
    <row r="98" ht="15.75" customHeight="1">
      <c r="A98" s="35"/>
      <c r="B98" s="34"/>
      <c r="C98" s="34"/>
      <c r="D98" s="34"/>
      <c r="E98" s="34"/>
      <c r="F98" s="34"/>
      <c r="G98" s="34"/>
      <c r="H98" s="34"/>
      <c r="I98" s="34"/>
      <c r="J98" s="34"/>
    </row>
    <row r="99" ht="15.75" customHeight="1">
      <c r="A99" s="35"/>
      <c r="B99" s="34"/>
      <c r="C99" s="34"/>
      <c r="D99" s="34"/>
      <c r="E99" s="34"/>
      <c r="F99" s="34"/>
      <c r="G99" s="34"/>
      <c r="H99" s="34"/>
      <c r="I99" s="34"/>
      <c r="J99" s="34"/>
    </row>
    <row r="100" ht="15.75" customHeight="1">
      <c r="A100" s="35"/>
      <c r="B100" s="34"/>
      <c r="C100" s="34"/>
      <c r="D100" s="34"/>
      <c r="E100" s="34"/>
      <c r="F100" s="34"/>
      <c r="G100" s="34"/>
      <c r="H100" s="34"/>
      <c r="I100" s="34"/>
      <c r="J100" s="34"/>
    </row>
    <row r="101" ht="15.75" customHeight="1">
      <c r="A101" s="35"/>
      <c r="B101" s="34"/>
      <c r="C101" s="34"/>
      <c r="D101" s="34"/>
      <c r="E101" s="34"/>
      <c r="F101" s="34"/>
      <c r="G101" s="34"/>
      <c r="H101" s="34"/>
      <c r="I101" s="34"/>
      <c r="J101" s="34"/>
    </row>
    <row r="102" ht="15.75" customHeight="1">
      <c r="A102" s="35"/>
      <c r="B102" s="34"/>
      <c r="C102" s="34"/>
      <c r="D102" s="34"/>
      <c r="E102" s="34"/>
      <c r="F102" s="34"/>
      <c r="G102" s="34"/>
      <c r="H102" s="34"/>
      <c r="I102" s="34"/>
      <c r="J102" s="34"/>
    </row>
    <row r="103" ht="15.75" customHeight="1">
      <c r="A103" s="35"/>
      <c r="B103" s="34"/>
      <c r="C103" s="34"/>
      <c r="D103" s="34"/>
      <c r="E103" s="34"/>
      <c r="F103" s="34"/>
      <c r="G103" s="34"/>
      <c r="H103" s="34"/>
      <c r="I103" s="34"/>
      <c r="J103" s="34"/>
    </row>
    <row r="104" ht="15.75" customHeight="1">
      <c r="A104" s="35"/>
      <c r="B104" s="34"/>
      <c r="C104" s="34"/>
      <c r="D104" s="34"/>
      <c r="E104" s="34"/>
      <c r="F104" s="34"/>
      <c r="G104" s="34"/>
      <c r="H104" s="34"/>
      <c r="I104" s="34"/>
      <c r="J104" s="34"/>
    </row>
    <row r="105" ht="15.75" customHeight="1">
      <c r="A105" s="35"/>
      <c r="B105" s="34"/>
      <c r="C105" s="34"/>
      <c r="D105" s="34"/>
      <c r="E105" s="34"/>
      <c r="F105" s="34"/>
      <c r="G105" s="34"/>
      <c r="H105" s="34"/>
      <c r="I105" s="34"/>
      <c r="J105" s="34"/>
    </row>
    <row r="106" ht="15.75" customHeight="1">
      <c r="A106" s="35"/>
      <c r="B106" s="34"/>
      <c r="C106" s="34"/>
      <c r="D106" s="34"/>
      <c r="E106" s="34"/>
      <c r="F106" s="34"/>
      <c r="G106" s="34"/>
      <c r="H106" s="34"/>
      <c r="I106" s="34"/>
      <c r="J106" s="34"/>
    </row>
    <row r="107" ht="15.75" customHeight="1">
      <c r="A107" s="35"/>
      <c r="B107" s="34"/>
      <c r="C107" s="34"/>
      <c r="D107" s="34"/>
      <c r="E107" s="34"/>
      <c r="F107" s="34"/>
      <c r="G107" s="34"/>
      <c r="H107" s="34"/>
      <c r="I107" s="34"/>
      <c r="J107" s="34"/>
    </row>
    <row r="108" ht="15.75" customHeight="1">
      <c r="A108" s="35"/>
      <c r="B108" s="34"/>
      <c r="C108" s="34"/>
      <c r="D108" s="34"/>
      <c r="E108" s="34"/>
      <c r="F108" s="34"/>
      <c r="G108" s="34"/>
      <c r="H108" s="34"/>
      <c r="I108" s="34"/>
      <c r="J108" s="34"/>
    </row>
    <row r="109" ht="15.75" customHeight="1">
      <c r="A109" s="35"/>
      <c r="B109" s="34"/>
      <c r="C109" s="34"/>
      <c r="D109" s="34"/>
      <c r="E109" s="34"/>
      <c r="F109" s="34"/>
      <c r="G109" s="34"/>
      <c r="H109" s="34"/>
      <c r="I109" s="34"/>
      <c r="J109" s="34"/>
    </row>
    <row r="110" ht="15.75" customHeight="1">
      <c r="A110" s="35"/>
      <c r="B110" s="34"/>
      <c r="C110" s="34"/>
      <c r="D110" s="34"/>
      <c r="E110" s="34"/>
      <c r="F110" s="34"/>
      <c r="G110" s="34"/>
      <c r="H110" s="34"/>
      <c r="I110" s="34"/>
      <c r="J110" s="34"/>
    </row>
    <row r="111" ht="15.75" customHeight="1">
      <c r="A111" s="35"/>
      <c r="B111" s="34"/>
      <c r="C111" s="34"/>
      <c r="D111" s="34"/>
      <c r="E111" s="34"/>
      <c r="F111" s="34"/>
      <c r="G111" s="34"/>
      <c r="H111" s="34"/>
      <c r="I111" s="34"/>
      <c r="J111" s="34"/>
    </row>
    <row r="112" ht="15.75" customHeight="1">
      <c r="A112" s="35"/>
      <c r="B112" s="34"/>
      <c r="C112" s="34"/>
      <c r="D112" s="34"/>
      <c r="E112" s="34"/>
      <c r="F112" s="34"/>
      <c r="G112" s="34"/>
      <c r="H112" s="34"/>
      <c r="I112" s="34"/>
      <c r="J112" s="34"/>
    </row>
    <row r="113" ht="15.75" customHeight="1">
      <c r="A113" s="35"/>
      <c r="B113" s="34"/>
      <c r="C113" s="34"/>
      <c r="D113" s="34"/>
      <c r="E113" s="34"/>
      <c r="F113" s="34"/>
      <c r="G113" s="34"/>
      <c r="H113" s="34"/>
      <c r="I113" s="34"/>
      <c r="J113" s="34"/>
    </row>
    <row r="114" ht="15.75" customHeight="1">
      <c r="A114" s="35"/>
      <c r="B114" s="34"/>
      <c r="C114" s="34"/>
      <c r="D114" s="34"/>
      <c r="E114" s="34"/>
      <c r="F114" s="34"/>
      <c r="G114" s="34"/>
      <c r="H114" s="34"/>
      <c r="I114" s="34"/>
      <c r="J114" s="34"/>
    </row>
    <row r="115" ht="15.75" customHeight="1">
      <c r="A115" s="35"/>
      <c r="B115" s="34"/>
      <c r="C115" s="34"/>
      <c r="D115" s="34"/>
      <c r="E115" s="34"/>
      <c r="F115" s="34"/>
      <c r="G115" s="34"/>
      <c r="H115" s="34"/>
      <c r="I115" s="34"/>
      <c r="J115" s="34"/>
    </row>
    <row r="116" ht="15.75" customHeight="1">
      <c r="A116" s="35"/>
      <c r="B116" s="34"/>
      <c r="C116" s="34"/>
      <c r="D116" s="34"/>
      <c r="E116" s="34"/>
      <c r="F116" s="34"/>
      <c r="G116" s="34"/>
      <c r="H116" s="34"/>
      <c r="I116" s="34"/>
      <c r="J116" s="34"/>
    </row>
    <row r="117" ht="15.75" customHeight="1">
      <c r="A117" s="35"/>
      <c r="B117" s="34"/>
      <c r="C117" s="34"/>
      <c r="D117" s="34"/>
      <c r="E117" s="34"/>
      <c r="F117" s="34"/>
      <c r="G117" s="34"/>
      <c r="H117" s="34"/>
      <c r="I117" s="34"/>
      <c r="J117" s="34"/>
    </row>
    <row r="118" ht="15.75" customHeight="1">
      <c r="A118" s="35"/>
      <c r="B118" s="34"/>
      <c r="C118" s="34"/>
      <c r="D118" s="34"/>
      <c r="E118" s="34"/>
      <c r="F118" s="34"/>
      <c r="G118" s="34"/>
      <c r="H118" s="34"/>
      <c r="I118" s="34"/>
      <c r="J118" s="34"/>
    </row>
    <row r="119" ht="15.75" customHeight="1">
      <c r="A119" s="35"/>
      <c r="B119" s="34"/>
      <c r="C119" s="34"/>
      <c r="D119" s="34"/>
      <c r="E119" s="34"/>
      <c r="F119" s="34"/>
      <c r="G119" s="34"/>
      <c r="H119" s="34"/>
      <c r="I119" s="34"/>
      <c r="J119" s="34"/>
    </row>
    <row r="120" ht="15.75" customHeight="1">
      <c r="A120" s="35"/>
      <c r="B120" s="34"/>
      <c r="C120" s="34"/>
      <c r="D120" s="34"/>
      <c r="E120" s="34"/>
      <c r="F120" s="34"/>
      <c r="G120" s="34"/>
      <c r="H120" s="34"/>
      <c r="I120" s="34"/>
      <c r="J120" s="34"/>
    </row>
    <row r="121" ht="15.75" customHeight="1">
      <c r="A121" s="35"/>
      <c r="B121" s="34"/>
      <c r="C121" s="34"/>
      <c r="D121" s="34"/>
      <c r="E121" s="34"/>
      <c r="F121" s="34"/>
      <c r="G121" s="34"/>
      <c r="H121" s="34"/>
      <c r="I121" s="34"/>
      <c r="J121" s="34"/>
    </row>
    <row r="122" ht="15.75" customHeight="1">
      <c r="A122" s="35"/>
      <c r="B122" s="34"/>
      <c r="C122" s="34"/>
      <c r="D122" s="34"/>
      <c r="E122" s="34"/>
      <c r="F122" s="34"/>
      <c r="G122" s="34"/>
      <c r="H122" s="34"/>
      <c r="I122" s="34"/>
      <c r="J122" s="34"/>
    </row>
    <row r="123" ht="15.75" customHeight="1">
      <c r="A123" s="35"/>
      <c r="B123" s="34"/>
      <c r="C123" s="34"/>
      <c r="D123" s="34"/>
      <c r="E123" s="34"/>
      <c r="F123" s="34"/>
      <c r="G123" s="34"/>
      <c r="H123" s="34"/>
      <c r="I123" s="34"/>
      <c r="J123" s="34"/>
    </row>
    <row r="124" ht="15.75" customHeight="1">
      <c r="A124" s="35"/>
      <c r="B124" s="34"/>
      <c r="C124" s="34"/>
      <c r="D124" s="34"/>
      <c r="E124" s="34"/>
      <c r="F124" s="34"/>
      <c r="G124" s="34"/>
      <c r="H124" s="34"/>
      <c r="I124" s="34"/>
      <c r="J124" s="34"/>
    </row>
    <row r="125" ht="15.75" customHeight="1">
      <c r="A125" s="35"/>
      <c r="B125" s="34"/>
      <c r="C125" s="34"/>
      <c r="D125" s="34"/>
      <c r="E125" s="34"/>
      <c r="F125" s="34"/>
      <c r="G125" s="34"/>
      <c r="H125" s="34"/>
      <c r="I125" s="34"/>
      <c r="J125" s="34"/>
    </row>
    <row r="126" ht="15.75" customHeight="1">
      <c r="A126" s="35"/>
      <c r="B126" s="34"/>
      <c r="C126" s="34"/>
      <c r="D126" s="34"/>
      <c r="E126" s="34"/>
      <c r="F126" s="34"/>
      <c r="G126" s="34"/>
      <c r="H126" s="34"/>
      <c r="I126" s="34"/>
      <c r="J126" s="34"/>
    </row>
    <row r="127" ht="15.75" customHeight="1">
      <c r="A127" s="35"/>
      <c r="B127" s="34"/>
      <c r="C127" s="34"/>
      <c r="D127" s="34"/>
      <c r="E127" s="34"/>
      <c r="F127" s="34"/>
      <c r="G127" s="34"/>
      <c r="H127" s="34"/>
      <c r="I127" s="34"/>
      <c r="J127" s="34"/>
    </row>
    <row r="128" ht="15.75" customHeight="1">
      <c r="A128" s="35"/>
      <c r="B128" s="34"/>
      <c r="C128" s="34"/>
      <c r="D128" s="34"/>
      <c r="E128" s="34"/>
      <c r="F128" s="34"/>
      <c r="G128" s="34"/>
      <c r="H128" s="34"/>
      <c r="I128" s="34"/>
      <c r="J128" s="34"/>
    </row>
    <row r="129" ht="15.75" customHeight="1">
      <c r="A129" s="35"/>
      <c r="B129" s="34"/>
      <c r="C129" s="34"/>
      <c r="D129" s="34"/>
      <c r="E129" s="34"/>
      <c r="F129" s="34"/>
      <c r="G129" s="34"/>
      <c r="H129" s="34"/>
      <c r="I129" s="34"/>
      <c r="J129" s="34"/>
    </row>
    <row r="130" ht="15.75" customHeight="1">
      <c r="A130" s="35"/>
      <c r="B130" s="34"/>
      <c r="C130" s="34"/>
      <c r="D130" s="34"/>
      <c r="E130" s="34"/>
      <c r="F130" s="34"/>
      <c r="G130" s="34"/>
      <c r="H130" s="34"/>
      <c r="I130" s="34"/>
      <c r="J130" s="34"/>
    </row>
    <row r="131" ht="15.75" customHeight="1">
      <c r="A131" s="35"/>
      <c r="B131" s="34"/>
      <c r="C131" s="34"/>
      <c r="D131" s="34"/>
      <c r="E131" s="34"/>
      <c r="F131" s="34"/>
      <c r="G131" s="34"/>
      <c r="H131" s="34"/>
      <c r="I131" s="34"/>
      <c r="J131" s="34"/>
    </row>
    <row r="132" ht="15.75" customHeight="1">
      <c r="A132" s="35"/>
      <c r="B132" s="34"/>
      <c r="C132" s="34"/>
      <c r="D132" s="34"/>
      <c r="E132" s="34"/>
      <c r="F132" s="34"/>
      <c r="G132" s="34"/>
      <c r="H132" s="34"/>
      <c r="I132" s="34"/>
      <c r="J132" s="34"/>
    </row>
    <row r="133" ht="15.75" customHeight="1">
      <c r="A133" s="35"/>
      <c r="B133" s="34"/>
      <c r="C133" s="34"/>
      <c r="D133" s="34"/>
      <c r="E133" s="34"/>
      <c r="F133" s="34"/>
      <c r="G133" s="34"/>
      <c r="H133" s="34"/>
      <c r="I133" s="34"/>
      <c r="J133" s="34"/>
    </row>
    <row r="134" ht="15.75" customHeight="1">
      <c r="A134" s="35"/>
      <c r="B134" s="34"/>
      <c r="C134" s="34"/>
      <c r="D134" s="34"/>
      <c r="E134" s="34"/>
      <c r="F134" s="34"/>
      <c r="G134" s="34"/>
      <c r="H134" s="34"/>
      <c r="I134" s="34"/>
      <c r="J134" s="34"/>
    </row>
    <row r="135" ht="15.75" customHeight="1">
      <c r="A135" s="35"/>
      <c r="B135" s="34"/>
      <c r="C135" s="34"/>
      <c r="D135" s="34"/>
      <c r="E135" s="34"/>
      <c r="F135" s="34"/>
      <c r="G135" s="34"/>
      <c r="H135" s="34"/>
      <c r="I135" s="34"/>
      <c r="J135" s="34"/>
    </row>
    <row r="136" ht="15.75" customHeight="1">
      <c r="A136" s="35"/>
      <c r="B136" s="34"/>
      <c r="C136" s="34"/>
      <c r="D136" s="34"/>
      <c r="E136" s="34"/>
      <c r="F136" s="34"/>
      <c r="G136" s="34"/>
      <c r="H136" s="34"/>
      <c r="I136" s="34"/>
      <c r="J136" s="34"/>
    </row>
    <row r="137" ht="15.75" customHeight="1">
      <c r="A137" s="35"/>
      <c r="B137" s="34"/>
      <c r="C137" s="34"/>
      <c r="D137" s="34"/>
      <c r="E137" s="34"/>
      <c r="F137" s="34"/>
      <c r="G137" s="34"/>
      <c r="H137" s="34"/>
      <c r="I137" s="34"/>
      <c r="J137" s="34"/>
    </row>
    <row r="138" ht="15.75" customHeight="1">
      <c r="A138" s="35"/>
      <c r="B138" s="34"/>
      <c r="C138" s="34"/>
      <c r="D138" s="34"/>
      <c r="E138" s="34"/>
      <c r="F138" s="34"/>
      <c r="G138" s="34"/>
      <c r="H138" s="34"/>
      <c r="I138" s="34"/>
      <c r="J138" s="34"/>
    </row>
    <row r="139" ht="15.75" customHeight="1">
      <c r="A139" s="35"/>
      <c r="B139" s="34"/>
      <c r="C139" s="34"/>
      <c r="D139" s="34"/>
      <c r="E139" s="34"/>
      <c r="F139" s="34"/>
      <c r="G139" s="34"/>
      <c r="H139" s="34"/>
      <c r="I139" s="34"/>
      <c r="J139" s="34"/>
    </row>
    <row r="140" ht="15.75" customHeight="1">
      <c r="A140" s="35"/>
      <c r="B140" s="34"/>
      <c r="C140" s="34"/>
      <c r="D140" s="34"/>
      <c r="E140" s="34"/>
      <c r="F140" s="34"/>
      <c r="G140" s="34"/>
      <c r="H140" s="34"/>
      <c r="I140" s="34"/>
      <c r="J140" s="34"/>
    </row>
    <row r="141" ht="15.75" customHeight="1">
      <c r="A141" s="35"/>
      <c r="B141" s="34"/>
      <c r="C141" s="34"/>
      <c r="D141" s="34"/>
      <c r="E141" s="34"/>
      <c r="F141" s="34"/>
      <c r="G141" s="34"/>
      <c r="H141" s="34"/>
      <c r="I141" s="34"/>
      <c r="J141" s="34"/>
    </row>
    <row r="142" ht="15.75" customHeight="1">
      <c r="A142" s="35"/>
      <c r="B142" s="34"/>
      <c r="C142" s="34"/>
      <c r="D142" s="34"/>
      <c r="E142" s="34"/>
      <c r="F142" s="34"/>
      <c r="G142" s="34"/>
      <c r="H142" s="34"/>
      <c r="I142" s="34"/>
      <c r="J142" s="34"/>
    </row>
    <row r="143" ht="15.75" customHeight="1">
      <c r="A143" s="35"/>
      <c r="B143" s="34"/>
      <c r="C143" s="34"/>
      <c r="D143" s="34"/>
      <c r="E143" s="34"/>
      <c r="F143" s="34"/>
      <c r="G143" s="34"/>
      <c r="H143" s="34"/>
      <c r="I143" s="34"/>
      <c r="J143" s="34"/>
    </row>
    <row r="144" ht="15.75" customHeight="1">
      <c r="A144" s="35"/>
      <c r="B144" s="34"/>
      <c r="C144" s="34"/>
      <c r="D144" s="34"/>
      <c r="E144" s="34"/>
      <c r="F144" s="34"/>
      <c r="G144" s="34"/>
      <c r="H144" s="34"/>
      <c r="I144" s="34"/>
      <c r="J144" s="34"/>
    </row>
    <row r="145" ht="15.75" customHeight="1">
      <c r="A145" s="35"/>
      <c r="B145" s="34"/>
      <c r="C145" s="34"/>
      <c r="D145" s="34"/>
      <c r="E145" s="34"/>
      <c r="F145" s="34"/>
      <c r="G145" s="34"/>
      <c r="H145" s="34"/>
      <c r="I145" s="34"/>
      <c r="J145" s="34"/>
    </row>
    <row r="146" ht="15.75" customHeight="1">
      <c r="A146" s="35"/>
      <c r="B146" s="34"/>
      <c r="C146" s="34"/>
      <c r="D146" s="34"/>
      <c r="E146" s="34"/>
      <c r="F146" s="34"/>
      <c r="G146" s="34"/>
      <c r="H146" s="34"/>
      <c r="I146" s="34"/>
      <c r="J146" s="34"/>
    </row>
    <row r="147" ht="15.75" customHeight="1">
      <c r="A147" s="35"/>
      <c r="B147" s="34"/>
      <c r="C147" s="34"/>
      <c r="D147" s="34"/>
      <c r="E147" s="34"/>
      <c r="F147" s="34"/>
      <c r="G147" s="34"/>
      <c r="H147" s="34"/>
      <c r="I147" s="34"/>
      <c r="J147" s="34"/>
    </row>
    <row r="148" ht="15.75" customHeight="1">
      <c r="A148" s="35"/>
      <c r="B148" s="34"/>
      <c r="C148" s="34"/>
      <c r="D148" s="34"/>
      <c r="E148" s="34"/>
      <c r="F148" s="34"/>
      <c r="G148" s="34"/>
      <c r="H148" s="34"/>
      <c r="I148" s="34"/>
      <c r="J148" s="34"/>
    </row>
    <row r="149" ht="15.75" customHeight="1">
      <c r="A149" s="35"/>
      <c r="B149" s="34"/>
      <c r="C149" s="34"/>
      <c r="D149" s="34"/>
      <c r="E149" s="34"/>
      <c r="F149" s="34"/>
      <c r="G149" s="34"/>
      <c r="H149" s="34"/>
      <c r="I149" s="34"/>
      <c r="J149" s="34"/>
    </row>
    <row r="150" ht="15.75" customHeight="1">
      <c r="A150" s="35"/>
      <c r="B150" s="34"/>
      <c r="C150" s="34"/>
      <c r="D150" s="34"/>
      <c r="E150" s="34"/>
      <c r="F150" s="34"/>
      <c r="G150" s="34"/>
      <c r="H150" s="34"/>
      <c r="I150" s="34"/>
      <c r="J150" s="34"/>
    </row>
    <row r="151" ht="15.75" customHeight="1">
      <c r="A151" s="35"/>
      <c r="B151" s="34"/>
      <c r="C151" s="34"/>
      <c r="D151" s="34"/>
      <c r="E151" s="34"/>
      <c r="F151" s="34"/>
      <c r="G151" s="34"/>
      <c r="H151" s="34"/>
      <c r="I151" s="34"/>
      <c r="J151" s="34"/>
    </row>
    <row r="152" ht="15.75" customHeight="1">
      <c r="A152" s="35"/>
      <c r="B152" s="34"/>
      <c r="C152" s="34"/>
      <c r="D152" s="34"/>
      <c r="E152" s="34"/>
      <c r="F152" s="34"/>
      <c r="G152" s="34"/>
      <c r="H152" s="34"/>
      <c r="I152" s="34"/>
      <c r="J152" s="34"/>
    </row>
    <row r="153" ht="15.75" customHeight="1">
      <c r="A153" s="35"/>
      <c r="B153" s="34"/>
      <c r="C153" s="34"/>
      <c r="D153" s="34"/>
      <c r="E153" s="34"/>
      <c r="F153" s="34"/>
      <c r="G153" s="34"/>
      <c r="H153" s="34"/>
      <c r="I153" s="34"/>
      <c r="J153" s="34"/>
    </row>
    <row r="154" ht="15.75" customHeight="1">
      <c r="A154" s="35"/>
      <c r="B154" s="34"/>
      <c r="C154" s="34"/>
      <c r="D154" s="34"/>
      <c r="E154" s="34"/>
      <c r="F154" s="34"/>
      <c r="G154" s="34"/>
      <c r="H154" s="34"/>
      <c r="I154" s="34"/>
      <c r="J154" s="34"/>
    </row>
    <row r="155" ht="15.75" customHeight="1">
      <c r="A155" s="35"/>
      <c r="B155" s="34"/>
      <c r="C155" s="34"/>
      <c r="D155" s="34"/>
      <c r="E155" s="34"/>
      <c r="F155" s="34"/>
      <c r="G155" s="34"/>
      <c r="H155" s="34"/>
      <c r="I155" s="34"/>
      <c r="J155" s="34"/>
    </row>
    <row r="156" ht="15.75" customHeight="1">
      <c r="A156" s="35"/>
      <c r="B156" s="34"/>
      <c r="C156" s="34"/>
      <c r="D156" s="34"/>
      <c r="E156" s="34"/>
      <c r="F156" s="34"/>
      <c r="G156" s="34"/>
      <c r="H156" s="34"/>
      <c r="I156" s="34"/>
      <c r="J156" s="34"/>
    </row>
    <row r="157" ht="15.75" customHeight="1">
      <c r="A157" s="35"/>
      <c r="B157" s="34"/>
      <c r="C157" s="34"/>
      <c r="D157" s="34"/>
      <c r="E157" s="34"/>
      <c r="F157" s="34"/>
      <c r="G157" s="34"/>
      <c r="H157" s="34"/>
      <c r="I157" s="34"/>
      <c r="J157" s="34"/>
    </row>
    <row r="158" ht="15.75" customHeight="1">
      <c r="A158" s="35"/>
      <c r="B158" s="34"/>
      <c r="C158" s="34"/>
      <c r="D158" s="34"/>
      <c r="E158" s="34"/>
      <c r="F158" s="34"/>
      <c r="G158" s="34"/>
      <c r="H158" s="34"/>
      <c r="I158" s="34"/>
      <c r="J158" s="34"/>
    </row>
    <row r="159" ht="15.75" customHeight="1">
      <c r="A159" s="35"/>
      <c r="B159" s="34"/>
      <c r="C159" s="34"/>
      <c r="D159" s="34"/>
      <c r="E159" s="34"/>
      <c r="F159" s="34"/>
      <c r="G159" s="34"/>
      <c r="H159" s="34"/>
      <c r="I159" s="34"/>
      <c r="J159" s="34"/>
    </row>
    <row r="160" ht="15.75" customHeight="1">
      <c r="A160" s="35"/>
      <c r="B160" s="34"/>
      <c r="C160" s="34"/>
      <c r="D160" s="34"/>
      <c r="E160" s="34"/>
      <c r="F160" s="34"/>
      <c r="G160" s="34"/>
      <c r="H160" s="34"/>
      <c r="I160" s="34"/>
      <c r="J160" s="34"/>
    </row>
    <row r="161" ht="15.75" customHeight="1">
      <c r="A161" s="35"/>
      <c r="B161" s="34"/>
      <c r="C161" s="34"/>
      <c r="D161" s="34"/>
      <c r="E161" s="34"/>
      <c r="F161" s="34"/>
      <c r="G161" s="34"/>
      <c r="H161" s="34"/>
      <c r="I161" s="34"/>
      <c r="J161" s="34"/>
    </row>
    <row r="162" ht="15.75" customHeight="1">
      <c r="A162" s="35"/>
      <c r="B162" s="34"/>
      <c r="C162" s="34"/>
      <c r="D162" s="34"/>
      <c r="E162" s="34"/>
      <c r="F162" s="34"/>
      <c r="G162" s="34"/>
      <c r="H162" s="34"/>
      <c r="I162" s="34"/>
      <c r="J162" s="34"/>
    </row>
    <row r="163" ht="15.75" customHeight="1">
      <c r="A163" s="35"/>
      <c r="B163" s="34"/>
      <c r="C163" s="34"/>
      <c r="D163" s="34"/>
      <c r="E163" s="34"/>
      <c r="F163" s="34"/>
      <c r="G163" s="34"/>
      <c r="H163" s="34"/>
      <c r="I163" s="34"/>
      <c r="J163" s="34"/>
    </row>
    <row r="164" ht="15.75" customHeight="1">
      <c r="A164" s="35"/>
      <c r="B164" s="34"/>
      <c r="C164" s="34"/>
      <c r="D164" s="34"/>
      <c r="E164" s="34"/>
      <c r="F164" s="34"/>
      <c r="G164" s="34"/>
      <c r="H164" s="34"/>
      <c r="I164" s="34"/>
      <c r="J164" s="34"/>
    </row>
    <row r="165" ht="15.75" customHeight="1">
      <c r="A165" s="35"/>
      <c r="B165" s="34"/>
      <c r="C165" s="34"/>
      <c r="D165" s="34"/>
      <c r="E165" s="34"/>
      <c r="F165" s="34"/>
      <c r="G165" s="34"/>
      <c r="H165" s="34"/>
      <c r="I165" s="34"/>
      <c r="J165" s="34"/>
    </row>
    <row r="166" ht="15.75" customHeight="1">
      <c r="A166" s="35"/>
      <c r="B166" s="34"/>
      <c r="C166" s="34"/>
      <c r="D166" s="34"/>
      <c r="E166" s="34"/>
      <c r="F166" s="34"/>
      <c r="G166" s="34"/>
      <c r="H166" s="34"/>
      <c r="I166" s="34"/>
      <c r="J166" s="34"/>
    </row>
    <row r="167" ht="15.75" customHeight="1">
      <c r="A167" s="35"/>
      <c r="B167" s="34"/>
      <c r="C167" s="34"/>
      <c r="D167" s="34"/>
      <c r="E167" s="34"/>
      <c r="F167" s="34"/>
      <c r="G167" s="34"/>
      <c r="H167" s="34"/>
      <c r="I167" s="34"/>
      <c r="J167" s="34"/>
    </row>
    <row r="168" ht="15.75" customHeight="1">
      <c r="A168" s="35"/>
      <c r="B168" s="34"/>
      <c r="C168" s="34"/>
      <c r="D168" s="34"/>
      <c r="E168" s="34"/>
      <c r="F168" s="34"/>
      <c r="G168" s="34"/>
      <c r="H168" s="34"/>
      <c r="I168" s="34"/>
      <c r="J168" s="34"/>
    </row>
    <row r="169" ht="15.75" customHeight="1">
      <c r="A169" s="35"/>
      <c r="B169" s="34"/>
      <c r="C169" s="34"/>
      <c r="D169" s="34"/>
      <c r="E169" s="34"/>
      <c r="F169" s="34"/>
      <c r="G169" s="34"/>
      <c r="H169" s="34"/>
      <c r="I169" s="34"/>
      <c r="J169" s="34"/>
    </row>
    <row r="170" ht="15.75" customHeight="1">
      <c r="A170" s="35"/>
      <c r="B170" s="34"/>
      <c r="C170" s="34"/>
      <c r="D170" s="34"/>
      <c r="E170" s="34"/>
      <c r="F170" s="34"/>
      <c r="G170" s="34"/>
      <c r="H170" s="34"/>
      <c r="I170" s="34"/>
      <c r="J170" s="34"/>
    </row>
    <row r="171" ht="15.75" customHeight="1">
      <c r="A171" s="35"/>
      <c r="B171" s="34"/>
      <c r="C171" s="34"/>
      <c r="D171" s="34"/>
      <c r="E171" s="34"/>
      <c r="F171" s="34"/>
      <c r="G171" s="34"/>
      <c r="H171" s="34"/>
      <c r="I171" s="34"/>
      <c r="J171" s="34"/>
    </row>
    <row r="172" ht="15.75" customHeight="1">
      <c r="A172" s="35"/>
      <c r="B172" s="34"/>
      <c r="C172" s="34"/>
      <c r="D172" s="34"/>
      <c r="E172" s="34"/>
      <c r="F172" s="34"/>
      <c r="G172" s="34"/>
      <c r="H172" s="34"/>
      <c r="I172" s="34"/>
      <c r="J172" s="34"/>
    </row>
    <row r="173" ht="15.75" customHeight="1">
      <c r="A173" s="35"/>
      <c r="B173" s="34"/>
      <c r="C173" s="34"/>
      <c r="D173" s="34"/>
      <c r="E173" s="34"/>
      <c r="F173" s="34"/>
      <c r="G173" s="34"/>
      <c r="H173" s="34"/>
      <c r="I173" s="34"/>
      <c r="J173" s="34"/>
    </row>
    <row r="174" ht="15.75" customHeight="1">
      <c r="A174" s="35"/>
      <c r="B174" s="34"/>
      <c r="C174" s="34"/>
      <c r="D174" s="34"/>
      <c r="E174" s="34"/>
      <c r="F174" s="34"/>
      <c r="G174" s="34"/>
      <c r="H174" s="34"/>
      <c r="I174" s="34"/>
      <c r="J174" s="34"/>
    </row>
    <row r="175" ht="15.75" customHeight="1">
      <c r="A175" s="35"/>
      <c r="B175" s="34"/>
      <c r="C175" s="34"/>
      <c r="D175" s="34"/>
      <c r="E175" s="34"/>
      <c r="F175" s="34"/>
      <c r="G175" s="34"/>
      <c r="H175" s="34"/>
      <c r="I175" s="34"/>
      <c r="J175" s="34"/>
    </row>
    <row r="176" ht="15.75" customHeight="1">
      <c r="A176" s="35"/>
      <c r="B176" s="34"/>
      <c r="C176" s="34"/>
      <c r="D176" s="34"/>
      <c r="E176" s="34"/>
      <c r="F176" s="34"/>
      <c r="G176" s="34"/>
      <c r="H176" s="34"/>
      <c r="I176" s="34"/>
      <c r="J176" s="34"/>
    </row>
    <row r="177" ht="15.75" customHeight="1">
      <c r="A177" s="35"/>
      <c r="B177" s="34"/>
      <c r="C177" s="34"/>
      <c r="D177" s="34"/>
      <c r="E177" s="34"/>
      <c r="F177" s="34"/>
      <c r="G177" s="34"/>
      <c r="H177" s="34"/>
      <c r="I177" s="34"/>
      <c r="J177" s="34"/>
    </row>
    <row r="178" ht="15.75" customHeight="1">
      <c r="A178" s="35"/>
      <c r="B178" s="34"/>
      <c r="C178" s="34"/>
      <c r="D178" s="34"/>
      <c r="E178" s="34"/>
      <c r="F178" s="34"/>
      <c r="G178" s="34"/>
      <c r="H178" s="34"/>
      <c r="I178" s="34"/>
      <c r="J178" s="34"/>
    </row>
    <row r="179" ht="15.75" customHeight="1">
      <c r="A179" s="35"/>
      <c r="B179" s="34"/>
      <c r="C179" s="34"/>
      <c r="D179" s="34"/>
      <c r="E179" s="34"/>
      <c r="F179" s="34"/>
      <c r="G179" s="34"/>
      <c r="H179" s="34"/>
      <c r="I179" s="34"/>
      <c r="J179" s="34"/>
    </row>
    <row r="180" ht="15.75" customHeight="1">
      <c r="A180" s="35"/>
      <c r="B180" s="34"/>
      <c r="C180" s="34"/>
      <c r="D180" s="34"/>
      <c r="E180" s="34"/>
      <c r="F180" s="34"/>
      <c r="G180" s="34"/>
      <c r="H180" s="34"/>
      <c r="I180" s="34"/>
      <c r="J180" s="34"/>
    </row>
    <row r="181" ht="15.75" customHeight="1">
      <c r="A181" s="35"/>
      <c r="B181" s="34"/>
      <c r="C181" s="34"/>
      <c r="D181" s="34"/>
      <c r="E181" s="34"/>
      <c r="F181" s="34"/>
      <c r="G181" s="34"/>
      <c r="H181" s="34"/>
      <c r="I181" s="34"/>
      <c r="J181" s="34"/>
    </row>
    <row r="182" ht="15.75" customHeight="1">
      <c r="A182" s="35"/>
      <c r="B182" s="34"/>
      <c r="C182" s="34"/>
      <c r="D182" s="34"/>
      <c r="E182" s="34"/>
      <c r="F182" s="34"/>
      <c r="G182" s="34"/>
      <c r="H182" s="34"/>
      <c r="I182" s="34"/>
      <c r="J182" s="34"/>
    </row>
    <row r="183" ht="15.75" customHeight="1">
      <c r="A183" s="35"/>
      <c r="B183" s="34"/>
      <c r="C183" s="34"/>
      <c r="D183" s="34"/>
      <c r="E183" s="34"/>
      <c r="F183" s="34"/>
      <c r="G183" s="34"/>
      <c r="H183" s="34"/>
      <c r="I183" s="34"/>
      <c r="J183" s="34"/>
    </row>
    <row r="184" ht="15.75" customHeight="1">
      <c r="A184" s="35"/>
      <c r="B184" s="34"/>
      <c r="C184" s="34"/>
      <c r="D184" s="34"/>
      <c r="E184" s="34"/>
      <c r="F184" s="34"/>
      <c r="G184" s="34"/>
      <c r="H184" s="34"/>
      <c r="I184" s="34"/>
      <c r="J184" s="34"/>
    </row>
    <row r="185" ht="15.75" customHeight="1">
      <c r="A185" s="35"/>
      <c r="B185" s="34"/>
      <c r="C185" s="34"/>
      <c r="D185" s="34"/>
      <c r="E185" s="34"/>
      <c r="F185" s="34"/>
      <c r="G185" s="34"/>
      <c r="H185" s="34"/>
      <c r="I185" s="34"/>
      <c r="J185" s="34"/>
    </row>
    <row r="186" ht="15.75" customHeight="1">
      <c r="A186" s="35"/>
      <c r="B186" s="34"/>
      <c r="C186" s="34"/>
      <c r="D186" s="34"/>
      <c r="E186" s="34"/>
      <c r="F186" s="34"/>
      <c r="G186" s="34"/>
      <c r="H186" s="34"/>
      <c r="I186" s="34"/>
      <c r="J186" s="34"/>
    </row>
    <row r="187" ht="15.75" customHeight="1">
      <c r="A187" s="35"/>
      <c r="B187" s="34"/>
      <c r="C187" s="34"/>
      <c r="D187" s="34"/>
      <c r="E187" s="34"/>
      <c r="F187" s="34"/>
      <c r="G187" s="34"/>
      <c r="H187" s="34"/>
      <c r="I187" s="34"/>
      <c r="J187" s="34"/>
    </row>
    <row r="188" ht="15.75" customHeight="1">
      <c r="A188" s="35"/>
      <c r="B188" s="34"/>
      <c r="C188" s="34"/>
      <c r="D188" s="34"/>
      <c r="E188" s="34"/>
      <c r="F188" s="34"/>
      <c r="G188" s="34"/>
      <c r="H188" s="34"/>
      <c r="I188" s="34"/>
      <c r="J188" s="34"/>
    </row>
    <row r="189" ht="15.75" customHeight="1">
      <c r="A189" s="35"/>
      <c r="B189" s="34"/>
      <c r="C189" s="34"/>
      <c r="D189" s="34"/>
      <c r="E189" s="34"/>
      <c r="F189" s="34"/>
      <c r="G189" s="34"/>
      <c r="H189" s="34"/>
      <c r="I189" s="34"/>
      <c r="J189" s="34"/>
    </row>
    <row r="190" ht="15.75" customHeight="1">
      <c r="A190" s="35"/>
    </row>
    <row r="191" ht="15.75" customHeight="1">
      <c r="A191" s="35"/>
    </row>
    <row r="192" ht="15.75" customHeight="1">
      <c r="A192" s="35"/>
    </row>
    <row r="193" ht="15.75" customHeight="1">
      <c r="A193" s="35"/>
    </row>
    <row r="194" ht="15.75" customHeight="1">
      <c r="A194" s="35"/>
    </row>
    <row r="195" ht="15.75" customHeight="1">
      <c r="A195" s="35"/>
    </row>
    <row r="196" ht="15.75" customHeight="1">
      <c r="A196" s="35"/>
    </row>
    <row r="197" ht="15.75" customHeight="1">
      <c r="A197" s="35"/>
    </row>
    <row r="198" ht="15.75" customHeight="1">
      <c r="A198" s="35"/>
    </row>
    <row r="199" ht="15.75" customHeight="1">
      <c r="A199" s="35"/>
    </row>
    <row r="200" ht="15.75" customHeight="1">
      <c r="A200" s="35"/>
    </row>
    <row r="201" ht="15.75" customHeight="1">
      <c r="A201" s="35"/>
    </row>
    <row r="202" ht="15.75" customHeight="1">
      <c r="A202" s="35"/>
    </row>
    <row r="203" ht="15.75" customHeight="1">
      <c r="A203" s="35"/>
    </row>
    <row r="204" ht="15.75" customHeight="1">
      <c r="A204" s="35"/>
    </row>
    <row r="205" ht="15.75" customHeight="1">
      <c r="A205" s="35"/>
    </row>
    <row r="206" ht="15.75" customHeight="1">
      <c r="A206" s="35"/>
    </row>
    <row r="207" ht="15.75" customHeight="1">
      <c r="A207" s="35"/>
    </row>
    <row r="208" ht="15.75" customHeight="1">
      <c r="A208" s="35"/>
    </row>
    <row r="209" ht="15.75" customHeight="1">
      <c r="A209" s="35"/>
    </row>
    <row r="210" ht="15.75" customHeight="1">
      <c r="A210" s="35"/>
    </row>
    <row r="211" ht="15.75" customHeight="1">
      <c r="A211" s="35"/>
    </row>
    <row r="212" ht="15.75" customHeight="1">
      <c r="A212" s="35"/>
    </row>
    <row r="213" ht="15.75" customHeight="1">
      <c r="A213" s="35"/>
    </row>
    <row r="214" ht="15.75" customHeight="1">
      <c r="A214" s="35"/>
    </row>
    <row r="215" ht="15.75" customHeight="1">
      <c r="A215" s="35"/>
    </row>
    <row r="216" ht="15.75" customHeight="1">
      <c r="A216" s="35"/>
    </row>
    <row r="217" ht="15.75" customHeight="1">
      <c r="A217" s="35"/>
    </row>
    <row r="218" ht="15.75" customHeight="1">
      <c r="A218" s="35"/>
    </row>
    <row r="219" ht="15.75" customHeight="1">
      <c r="A219" s="35"/>
    </row>
    <row r="220" ht="15.75" customHeight="1">
      <c r="A220" s="35"/>
    </row>
    <row r="221" ht="15.75" customHeight="1">
      <c r="A221" s="35"/>
    </row>
    <row r="222" ht="15.75" customHeight="1">
      <c r="A222" s="35"/>
    </row>
    <row r="223" ht="15.75" customHeight="1">
      <c r="A223" s="35"/>
    </row>
    <row r="224" ht="15.75" customHeight="1">
      <c r="A224" s="35"/>
    </row>
    <row r="225" ht="15.75" customHeight="1">
      <c r="A225" s="35"/>
    </row>
    <row r="226" ht="15.75" customHeight="1">
      <c r="A226" s="35"/>
    </row>
    <row r="227" ht="15.75" customHeight="1">
      <c r="A227" s="35"/>
    </row>
    <row r="228" ht="15.75" customHeight="1">
      <c r="A228" s="35"/>
    </row>
    <row r="229" ht="15.75" customHeight="1">
      <c r="A229" s="35"/>
    </row>
    <row r="230" ht="15.75" customHeight="1">
      <c r="A230" s="35"/>
    </row>
    <row r="231" ht="15.75" customHeight="1">
      <c r="A231" s="35"/>
    </row>
    <row r="232" ht="15.75" customHeight="1">
      <c r="A232" s="35"/>
    </row>
    <row r="233" ht="15.75" customHeight="1">
      <c r="A233" s="35"/>
    </row>
    <row r="234" ht="15.75" customHeight="1">
      <c r="A234" s="35"/>
    </row>
    <row r="235" ht="15.75" customHeight="1">
      <c r="A235" s="35"/>
    </row>
    <row r="236" ht="15.75" customHeight="1">
      <c r="A236" s="35"/>
    </row>
    <row r="237" ht="15.75" customHeight="1">
      <c r="A237" s="35"/>
    </row>
    <row r="238" ht="15.75" customHeight="1">
      <c r="A238" s="35"/>
    </row>
    <row r="239" ht="15.75" customHeight="1">
      <c r="A239" s="35"/>
    </row>
    <row r="240" ht="15.75" customHeight="1">
      <c r="A240" s="35"/>
    </row>
    <row r="241" ht="15.75" customHeight="1">
      <c r="A241" s="35"/>
    </row>
    <row r="242" ht="15.75" customHeight="1">
      <c r="A242" s="35"/>
    </row>
    <row r="243" ht="15.75" customHeight="1">
      <c r="A243" s="35"/>
    </row>
    <row r="244" ht="15.75" customHeight="1">
      <c r="A244" s="35"/>
    </row>
    <row r="245" ht="15.75" customHeight="1">
      <c r="A245" s="35"/>
    </row>
    <row r="246" ht="15.75" customHeight="1">
      <c r="A246" s="35"/>
    </row>
    <row r="247" ht="15.75" customHeight="1">
      <c r="A247" s="35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4"/>
    <hyperlink r:id="rId2" ref="G4"/>
    <hyperlink r:id="rId3" ref="F5"/>
    <hyperlink r:id="rId4" ref="G5"/>
    <hyperlink r:id="rId5" ref="F6"/>
    <hyperlink r:id="rId6" ref="G6"/>
    <hyperlink r:id="rId7" ref="F7"/>
    <hyperlink r:id="rId8" ref="G7"/>
    <hyperlink r:id="rId9" ref="F8"/>
    <hyperlink r:id="rId10" ref="G8"/>
    <hyperlink r:id="rId11" ref="F9"/>
    <hyperlink r:id="rId12" ref="G9"/>
  </hyperlinks>
  <drawing r:id="rId13"/>
</worksheet>
</file>